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Phase 1 Core Accounting" sheetId="3" state="visible" r:id="rId5"/>
    <sheet name="Phase 2 Sales &amp; AR" sheetId="4" state="visible" r:id="rId6"/>
    <sheet name="Phase 3 Purchases &amp; AP" sheetId="5" state="visible" r:id="rId7"/>
    <sheet name="Phase 4 Treasury" sheetId="6" state="visible" r:id="rId8"/>
    <sheet name="Phase 5 Inventory" sheetId="7" state="visible" r:id="rId9"/>
    <sheet name="Phase 6 Tax &amp; Closing" sheetId="8" state="visible" r:id="rId10"/>
    <sheet name="Phase 7 Smart Finance" sheetId="9" state="visible" r:id="rId11"/>
    <sheet name="X-Cutting UI API Sec" sheetId="10" state="visible" r:id="rId12"/>
  </sheets>
  <definedNames>
    <definedName function="false" hidden="true" localSheetId="2" name="_xlnm._FilterDatabase" vbProcedure="false">'Phase 1 Core Accounting'!$A$3:$O$63</definedName>
    <definedName function="false" hidden="true" localSheetId="3" name="_xlnm._FilterDatabase" vbProcedure="false">'Phase 2 Sales &amp; AR'!$A$3:$O$48</definedName>
    <definedName function="false" hidden="true" localSheetId="4" name="_xlnm._FilterDatabase" vbProcedure="false">'Phase 3 Purchases &amp; AP'!$A$3:$O$43</definedName>
    <definedName function="false" hidden="true" localSheetId="5" name="_xlnm._FilterDatabase" vbProcedure="false">'Phase 4 Treasury'!$A$3:$O$38</definedName>
    <definedName function="false" hidden="true" localSheetId="6" name="_xlnm._FilterDatabase" vbProcedure="false">'Phase 5 Inventory'!$A$3:$O$43</definedName>
    <definedName function="false" hidden="true" localSheetId="7" name="_xlnm._FilterDatabase" vbProcedure="false">'Phase 6 Tax &amp; Closing'!$A$3:$O$33</definedName>
    <definedName function="false" hidden="true" localSheetId="8" name="_xlnm._FilterDatabase" vbProcedure="false">'Phase 7 Smart Finance'!$A$3:$O$28</definedName>
    <definedName function="false" hidden="true" localSheetId="9" name="_xlnm._FilterDatabase" vbProcedure="false">'X-Cutting UI API Sec'!$A$3:$O$49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<sst xmlns="http://schemas.openxmlformats.org/spreadsheetml/2006/main" count="3073" uniqueCount="1305">
  <si>
    <t xml:space="preserve">GS ERP  —  Master QA Test Plan</t>
  </si>
  <si>
    <t xml:space="preserve">System: https://test.tadgeeg.com  |  Plan author: QA Architect  |  Generated: 2026-04-23</t>
  </si>
  <si>
    <t xml:space="preserve">Purpose</t>
  </si>
  <si>
    <t xml:space="preserve">Executable, evidence-based test plan for a production-grade ERP. 320+ test cases across 7 phases + cross-cutting areas. Each case has clear steps, data, and expected outcome. Fill Status, Severity, and Evidence columns as you execute.</t>
  </si>
  <si>
    <t xml:space="preserve">Scope (included)</t>
  </si>
  <si>
    <t xml:space="preserve">Phase 1 Core Accounting • Phase 2 Sales &amp; AR • Phase 3 Purchases &amp; AP • Phase 4 Treasury • Phase 5 Inventory • Phase 6 Tax/Closing • Phase 7 Smart Finance/AI. Plus UI/UX, API, Security, Reporting Consistency, Data Integrity, Regression.</t>
  </si>
  <si>
    <t xml:space="preserve">Scope (excluded)</t>
  </si>
  <si>
    <t xml:space="preserve">Performance/load testing beyond basic latency spot-checks; formal penetration testing; SOC/ISO compliance audits. These require specialized tools/teams.</t>
  </si>
  <si>
    <t xml:space="preserve">How to execute</t>
  </si>
  <si>
    <t xml:space="preserve">1) Go to Summary sheet — shows running counts live.
2) Open a Phase sheet.
3) Perform the Test Steps with the Test Data.
4) Compare actual vs Expected Result.
5) Record Actual Result, set Status (dropdown), attach Evidence (screenshot/file path/URL).
6) If Fail, set Severity. Add Notes.
7) P0 cases MUST all pass before Go-Live.</t>
  </si>
  <si>
    <t xml:space="preserve">Pass / Fail / Blocked / N/A</t>
  </si>
  <si>
    <t xml:space="preserve">Pass = Expected matched exactly.
Fail = Deviation from Expected. Set Severity.
Blocked = Cannot run due to missing access, data, or dependency.
N/A = Feature not applicable to this deployment.</t>
  </si>
  <si>
    <t xml:space="preserve">Severity guide</t>
  </si>
  <si>
    <t xml:space="preserve">Critical = Data corruption, accounting imbalance, security breach, data leak between tenants.
High = Broken major flow, incorrect totals, missing critical feature.
Medium = Workaround exists, partial feature, non-critical UX.
Low = Cosmetic.</t>
  </si>
  <si>
    <t xml:space="preserve">Hard-FAIL rules (per user instruction)</t>
  </si>
  <si>
    <t xml:space="preserve">Any mismatch between GL / TB / Reports / Subsidiary ledgers ⇒ phase FAIL.
Permission bypass or cross-tenant data leak ⇒ phase FAIL.
Posted entries mutable ⇒ phase FAIL.
Closed-period posting accepted ⇒ phase FAIL.
AR/AP/Inventory subsidiary ≠ GL ⇒ phase FAIL.
AI that can mutate financial data directly ⇒ phase FAIL.</t>
  </si>
  <si>
    <t xml:space="preserve">Assumption policy</t>
  </si>
  <si>
    <t xml:space="preserve">Never mark a case Pass unless you actually verified the outcome. If unverifiable, mark Blocked with reason. The goal is evidence, not coverage theater.</t>
  </si>
  <si>
    <t xml:space="preserve">Findings from public-page pre-audit</t>
  </si>
  <si>
    <t xml:space="preserve">F-001 Branding inconsistency (domain vs 'GS ERP').
F-002 Password policy min=8 chars only, no complexity → P1 risk.
F-003 No visible MFA on login → P0 risk for financial system.
F-004 Self-service signup with no visible CAPTCHA → P2 risk.
F-005 No language toggle on public pages.
F-006 Remember-me without duration disclosure.
See README.md for full analysis.</t>
  </si>
  <si>
    <t xml:space="preserve">Execution Summary  (live counts)</t>
  </si>
  <si>
    <t xml:space="preserve">Phase / Area</t>
  </si>
  <si>
    <t xml:space="preserve">Total</t>
  </si>
  <si>
    <t xml:space="preserve">Not Run</t>
  </si>
  <si>
    <t xml:space="preserve">Pass</t>
  </si>
  <si>
    <t xml:space="preserve">Fail</t>
  </si>
  <si>
    <t xml:space="preserve">Blocked</t>
  </si>
  <si>
    <t xml:space="preserve">N/A</t>
  </si>
  <si>
    <t xml:space="preserve">Pass %</t>
  </si>
  <si>
    <t xml:space="preserve">P0 Fails</t>
  </si>
  <si>
    <t xml:space="preserve">Phase 1 Core Accounting</t>
  </si>
  <si>
    <t xml:space="preserve">Phase 2 Sales &amp; AR</t>
  </si>
  <si>
    <t xml:space="preserve">Phase 3 Purchases &amp; AP</t>
  </si>
  <si>
    <t xml:space="preserve">Phase 4 Treasury</t>
  </si>
  <si>
    <t xml:space="preserve">Phase 5 Inventory</t>
  </si>
  <si>
    <t xml:space="preserve">Phase 6 Tax &amp; Closing</t>
  </si>
  <si>
    <t xml:space="preserve">Phase 7 Smart Finance</t>
  </si>
  <si>
    <t xml:space="preserve">X-Cutting UI API Sec</t>
  </si>
  <si>
    <t xml:space="preserve">TOTAL</t>
  </si>
  <si>
    <t xml:space="preserve">Go / No-Go Rules</t>
  </si>
  <si>
    <t xml:space="preserve">• Any P0 fail → No-Go until fixed.</t>
  </si>
  <si>
    <t xml:space="preserve">• Any Critical severity fail → No-Go.</t>
  </si>
  <si>
    <t xml:space="preserve">• AR/AP/Inventory ledger vs GL mismatch → No-Go.</t>
  </si>
  <si>
    <t xml:space="preserve">• BS unbalanced (A ≠ L + E) → No-Go.</t>
  </si>
  <si>
    <t xml:space="preserve">• Posting in closed period allowed → No-Go.</t>
  </si>
  <si>
    <t xml:space="preserve">• Cross-tenant data leak → No-Go.</t>
  </si>
  <si>
    <t xml:space="preserve">• Overall pass rate &lt; 95% on executed P0/P1 → No-Go.</t>
  </si>
  <si>
    <t xml:space="preserve">Final Verdict (manual):</t>
  </si>
  <si>
    <t xml:space="preserve">Phase 1 — Core Accounting Foundation</t>
  </si>
  <si>
    <t xml:space="preserve">Total cases: 60  |  Fill 'Status' (dropdown). 'Severity' applies only if Fail.</t>
  </si>
  <si>
    <t xml:space="preserve">Test ID</t>
  </si>
  <si>
    <t xml:space="preserve">Priority</t>
  </si>
  <si>
    <t xml:space="preserve">Category</t>
  </si>
  <si>
    <t xml:space="preserve">Module / Area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</si>
  <si>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</si>
  <si>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</si>
  <si>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</si>
  <si>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</si>
  <si>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</si>
  <si>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</si>
  <si>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 (if Fail)</t>
  </si>
  <si>
    <t xml:space="preserve">Evidence (URL/path)</t>
  </si>
  <si>
    <t xml:space="preserve">Tester</t>
  </si>
  <si>
    <t xml:space="preserve">Date</t>
  </si>
  <si>
    <t xml:space="preserve">Notes</t>
  </si>
  <si>
    <t xml:space="preserve">P1-ORG-001</t>
  </si>
  <si>
    <t xml:space="preserve">P0</t>
  </si>
  <si>
    <t xml:space="preserve">Positive</t>
  </si>
  <si>
    <t xml:space="preserve">Organizations</t>
  </si>
  <si>
    <t xml:space="preserve">User logged in as Admin</t>
  </si>
  <si>
    <t xml:space="preserve">1) Open Settings &gt; Companies
2) Click 'New Company'
3) Fill: Name, Country=SA, Currency=SAR, Tax No.
4) Save</t>
  </si>
  <si>
    <t xml:space="preserve">Name='QA Test Co', Country='Saudi Arabia', Currency='SAR', VAT='300000000000003'</t>
  </si>
  <si>
    <t xml:space="preserve">Company created, appears in list, assigned unique ID, audit log entry created</t>
  </si>
  <si>
    <t xml:space="preserve">P1-ORG-002</t>
  </si>
  <si>
    <t xml:space="preserve">P1</t>
  </si>
  <si>
    <t xml:space="preserve">Negative</t>
  </si>
  <si>
    <t xml:space="preserve">Admin logged in</t>
  </si>
  <si>
    <t xml:space="preserve">1) New Company
2) Leave Name empty
3) Save</t>
  </si>
  <si>
    <t xml:space="preserve">Name=''</t>
  </si>
  <si>
    <t xml:space="preserve">Form rejects with clear validation error on Name field; no record created</t>
  </si>
  <si>
    <t xml:space="preserve">P1-ORG-003</t>
  </si>
  <si>
    <t xml:space="preserve">Company 'QA Test Co' exists</t>
  </si>
  <si>
    <t xml:space="preserve">1) Create another company with same Tax Number
2) Save</t>
  </si>
  <si>
    <t xml:space="preserve">VAT='300000000000003' (duplicate)</t>
  </si>
  <si>
    <t xml:space="preserve">System rejects duplicate VAT with specific error; no duplicate record</t>
  </si>
  <si>
    <t xml:space="preserve">P1-ORG-004</t>
  </si>
  <si>
    <t xml:space="preserve">P2</t>
  </si>
  <si>
    <t xml:space="preserve">Company exists</t>
  </si>
  <si>
    <t xml:space="preserve">1) Open company
2) Edit Name/Address
3) Save</t>
  </si>
  <si>
    <t xml:space="preserve">Change address</t>
  </si>
  <si>
    <t xml:space="preserve">Changes saved; audit log records old→new values and user</t>
  </si>
  <si>
    <t xml:space="preserve">P1-ORG-005</t>
  </si>
  <si>
    <t xml:space="preserve">Security</t>
  </si>
  <si>
    <t xml:space="preserve">User from Company A logged in</t>
  </si>
  <si>
    <t xml:space="preserve">1) Inspect company list
2) Try to access Company B via URL manipulation (change ID)</t>
  </si>
  <si>
    <t xml:space="preserve">URL /companies/&lt;other_id&gt;</t>
  </si>
  <si>
    <t xml:space="preserve">Access denied (403) or resource not found (404); no data leak</t>
  </si>
  <si>
    <t xml:space="preserve">P1-BR-006</t>
  </si>
  <si>
    <t xml:space="preserve">Branches</t>
  </si>
  <si>
    <t xml:space="preserve">1) Settings &gt; Branches &gt; New
2) Fill Name, Code, Parent Company
3) Save</t>
  </si>
  <si>
    <t xml:space="preserve">Name='Main Branch', Code='MB-001'</t>
  </si>
  <si>
    <t xml:space="preserve">Branch created and tied to correct company</t>
  </si>
  <si>
    <t xml:space="preserve">P1-BR-007</t>
  </si>
  <si>
    <t xml:space="preserve">Branch MB-001 exists</t>
  </si>
  <si>
    <t xml:space="preserve">1) Create branch with same Code
2) Save</t>
  </si>
  <si>
    <t xml:space="preserve">Code='MB-001'</t>
  </si>
  <si>
    <t xml:space="preserve">Rejected with duplicate-code error</t>
  </si>
  <si>
    <t xml:space="preserve">P1-BR-008</t>
  </si>
  <si>
    <t xml:space="preserve">Branch has transactions</t>
  </si>
  <si>
    <t xml:space="preserve">1) Open branch
2) Click Delete</t>
  </si>
  <si>
    <t xml:space="preserve">—</t>
  </si>
  <si>
    <t xml:space="preserve">Delete blocked; system prompts to deactivate instead</t>
  </si>
  <si>
    <t xml:space="preserve">P1-BR-009</t>
  </si>
  <si>
    <t xml:space="preserve">Integration</t>
  </si>
  <si>
    <t xml:space="preserve">Two branches exist</t>
  </si>
  <si>
    <t xml:space="preserve">1) Log in as user with access only to Branch A
2) Try to list/filter Branch B data</t>
  </si>
  <si>
    <t xml:space="preserve">User sees only Branch A data; no B data visible in lists, reports, dashboards</t>
  </si>
  <si>
    <t xml:space="preserve">P1-BR-010</t>
  </si>
  <si>
    <t xml:space="preserve">Multiple branches</t>
  </si>
  <si>
    <t xml:space="preserve">1) Use branch switcher in top bar
2) Switch context</t>
  </si>
  <si>
    <t xml:space="preserve">All subsequent screens reflect selected branch; URL/state updates</t>
  </si>
  <si>
    <t xml:space="preserve">P1-USR-011</t>
  </si>
  <si>
    <t xml:space="preserve">Users</t>
  </si>
  <si>
    <t xml:space="preserve">1) Users &gt; New
2) Fill Name, Email, Role
3) Save</t>
  </si>
  <si>
    <t xml:space="preserve">Email='qa1@test.local', Role='Accountant'</t>
  </si>
  <si>
    <t xml:space="preserve">User created; invitation/reset email sent; appears in list</t>
  </si>
  <si>
    <t xml:space="preserve">P1-USR-012</t>
  </si>
  <si>
    <t xml:space="preserve">User qa1@test.local exists</t>
  </si>
  <si>
    <t xml:space="preserve">1) Create user with same email</t>
  </si>
  <si>
    <t xml:space="preserve">Email='qa1@test.local'</t>
  </si>
  <si>
    <t xml:space="preserve">Duplicate email rejected</t>
  </si>
  <si>
    <t xml:space="preserve">P1-USR-013</t>
  </si>
  <si>
    <t xml:space="preserve">Any user creating account</t>
  </si>
  <si>
    <t xml:space="preserve">1) Register with weak password '12345678'</t>
  </si>
  <si>
    <t xml:space="preserve">Password='12345678'</t>
  </si>
  <si>
    <t xml:space="preserve">**EXPECTED FAIL per F-002**: Weak password should be rejected by complexity rules. If accepted = FAIL Severity=Critical</t>
  </si>
  <si>
    <t xml:space="preserve">P1-USR-014</t>
  </si>
  <si>
    <t xml:space="preserve">Roles</t>
  </si>
  <si>
    <t xml:space="preserve">1) Roles &gt; New
2) Pick granular permissions
3) Save</t>
  </si>
  <si>
    <t xml:space="preserve">Role='Viewer' with only view permissions</t>
  </si>
  <si>
    <t xml:space="preserve">Role saved; applying it restricts the user accordingly</t>
  </si>
  <si>
    <t xml:space="preserve">P1-USR-015</t>
  </si>
  <si>
    <t xml:space="preserve">User assigned to role</t>
  </si>
  <si>
    <t xml:space="preserve">1) Change role's permissions
2) Refresh the user's session (logout/login)</t>
  </si>
  <si>
    <t xml:space="preserve">Remove 'delete JE' permission</t>
  </si>
  <si>
    <t xml:space="preserve">Permission change takes effect; cached permissions invalidated</t>
  </si>
  <si>
    <t xml:space="preserve">P1-USR-016</t>
  </si>
  <si>
    <t xml:space="preserve">User is deactivated</t>
  </si>
  <si>
    <t xml:space="preserve">1) Attempt login with deactivated user's credentials</t>
  </si>
  <si>
    <t xml:space="preserve">Login blocked; clear message; no partial session created</t>
  </si>
  <si>
    <t xml:space="preserve">P1-USR-017</t>
  </si>
  <si>
    <t xml:space="preserve">User exists</t>
  </si>
  <si>
    <t xml:space="preserve">1) Forgot Password flow
2) Get email
3) Reset</t>
  </si>
  <si>
    <t xml:space="preserve">Valid email</t>
  </si>
  <si>
    <t xml:space="preserve">Reset email arrives; token is single-use and time-limited; new password enforced</t>
  </si>
  <si>
    <t xml:space="preserve">P1-USR-018</t>
  </si>
  <si>
    <t xml:space="preserve">Logged in</t>
  </si>
  <si>
    <t xml:space="preserve">1) Do not interact for &lt;session timeout&gt;
2) Attempt protected action</t>
  </si>
  <si>
    <t xml:space="preserve">Session expires per policy; action requires re-auth; no silent failures</t>
  </si>
  <si>
    <t xml:space="preserve">P1-PRM-019</t>
  </si>
  <si>
    <t xml:space="preserve">Permissions</t>
  </si>
  <si>
    <t xml:space="preserve">User with only 'View GL' permission</t>
  </si>
  <si>
    <t xml:space="preserve">1) Navigate to Journal Entry creation URL directly</t>
  </si>
  <si>
    <t xml:space="preserve">Access denied; no form rendered; API returns 403</t>
  </si>
  <si>
    <t xml:space="preserve">P1-PRM-020</t>
  </si>
  <si>
    <t xml:space="preserve">User with 'View Invoices' only</t>
  </si>
  <si>
    <t xml:space="preserve">1) Attempt POST to /api/invoices/ (or UI create)</t>
  </si>
  <si>
    <t xml:space="preserve">Blocked server-side (not just UI hide); 403</t>
  </si>
  <si>
    <t xml:space="preserve">P1-PRM-021</t>
  </si>
  <si>
    <t xml:space="preserve">User without Sales module</t>
  </si>
  <si>
    <t xml:space="preserve">1) Open sidebar menu</t>
  </si>
  <si>
    <t xml:space="preserve">Sales menu not visible; direct URL also blocked</t>
  </si>
  <si>
    <t xml:space="preserve">P1-PRM-022</t>
  </si>
  <si>
    <t xml:space="preserve">Two companies; User X in Co A</t>
  </si>
  <si>
    <t xml:space="preserve">1) Try to fetch invoice ID belonging to Co B (IDOR)</t>
  </si>
  <si>
    <t xml:space="preserve">Direct API or URL</t>
  </si>
  <si>
    <t xml:space="preserve">403/404; no cross-tenant data leakage</t>
  </si>
  <si>
    <t xml:space="preserve">P1-PRM-023</t>
  </si>
  <si>
    <t xml:space="preserve">Normal user</t>
  </si>
  <si>
    <t xml:space="preserve">1) Browse to /admin/ or equivalent admin path</t>
  </si>
  <si>
    <t xml:space="preserve">Blocked; no admin interface exposed</t>
  </si>
  <si>
    <t xml:space="preserve">P1-PRM-024</t>
  </si>
  <si>
    <t xml:space="preserve">User X in role R</t>
  </si>
  <si>
    <t xml:space="preserve">1) Admin removes permission
2) User performs action within 1-5 min</t>
  </si>
  <si>
    <t xml:space="preserve">User denied; permission cache refreshed reasonably quickly</t>
  </si>
  <si>
    <t xml:space="preserve">P1-COA-025</t>
  </si>
  <si>
    <t xml:space="preserve">COA</t>
  </si>
  <si>
    <t xml:space="preserve">1) COA &gt; New
2) Parent account; code=1000; name='Assets'; type=Asset
3) Save</t>
  </si>
  <si>
    <t xml:space="preserve">Parent created; cannot be posted to directly</t>
  </si>
  <si>
    <t xml:space="preserve">P1-COA-026</t>
  </si>
  <si>
    <t xml:space="preserve">Parent 1000 exists</t>
  </si>
  <si>
    <t xml:space="preserve">1) Create child 1010 'Cash on Hand', type=Asset, postable=Yes</t>
  </si>
  <si>
    <t xml:space="preserve">Child created under 1000 in hierarchy</t>
  </si>
  <si>
    <t xml:space="preserve">P1-COA-027</t>
  </si>
  <si>
    <t xml:space="preserve">Account 1010 exists</t>
  </si>
  <si>
    <t xml:space="preserve">1) Create another account with code 1010</t>
  </si>
  <si>
    <t xml:space="preserve">Duplicate code rejected</t>
  </si>
  <si>
    <t xml:space="preserve">P1-COA-028</t>
  </si>
  <si>
    <t xml:space="preserve">Account has no transactions</t>
  </si>
  <si>
    <t xml:space="preserve">1) Mark as inactive
2) Save</t>
  </si>
  <si>
    <t xml:space="preserve">Account inactive; not selectable in pickers</t>
  </si>
  <si>
    <t xml:space="preserve">P1-COA-029</t>
  </si>
  <si>
    <t xml:space="preserve">Account 1010 is inactive</t>
  </si>
  <si>
    <t xml:space="preserve">1) Try to create JE using 1010</t>
  </si>
  <si>
    <t xml:space="preserve">System rejects inactive account with clear message</t>
  </si>
  <si>
    <t xml:space="preserve">P1-COA-030</t>
  </si>
  <si>
    <t xml:space="preserve">Account 1000 is parent/non-postable</t>
  </si>
  <si>
    <t xml:space="preserve">1) Try to use 1000 in JE line</t>
  </si>
  <si>
    <t xml:space="preserve">System rejects non-postable account</t>
  </si>
  <si>
    <t xml:space="preserve">P1-COA-031</t>
  </si>
  <si>
    <t xml:space="preserve">1) Create accounts for each type
2) Verify classification in TB</t>
  </si>
  <si>
    <t xml:space="preserve">Asset/Liability/Equity/Revenue/Expense</t>
  </si>
  <si>
    <t xml:space="preserve">Each appears in correct TB section; normal debit/credit sides enforced</t>
  </si>
  <si>
    <t xml:space="preserve">P1-COA-032</t>
  </si>
  <si>
    <t xml:space="preserve">Multi-currency enabled</t>
  </si>
  <si>
    <t xml:space="preserve">1) Create account with currency=USD
2) Post FC entry</t>
  </si>
  <si>
    <t xml:space="preserve">USD account</t>
  </si>
  <si>
    <t xml:space="preserve">Amounts tracked in both FC and functional currency; FX applied</t>
  </si>
  <si>
    <t xml:space="preserve">P1-COA-033</t>
  </si>
  <si>
    <t xml:space="preserve">Account has JE lines</t>
  </si>
  <si>
    <t xml:space="preserve">1) Try to delete</t>
  </si>
  <si>
    <t xml:space="preserve">Delete blocked; suggests deactivation</t>
  </si>
  <si>
    <t xml:space="preserve">P1-COA-034</t>
  </si>
  <si>
    <t xml:space="preserve">Hierarchical COA exists</t>
  </si>
  <si>
    <t xml:space="preserve">1) Export COA to Excel/CSV</t>
  </si>
  <si>
    <t xml:space="preserve">Complete tree exported with codes, names, types, parents</t>
  </si>
  <si>
    <t xml:space="preserve">P1-FY-035</t>
  </si>
  <si>
    <t xml:space="preserve">Fiscal</t>
  </si>
  <si>
    <t xml:space="preserve">Admin</t>
  </si>
  <si>
    <t xml:space="preserve">1) Settings &gt; Fiscal Year &gt; New
2) Define Jan 1 – Dec 31 2026</t>
  </si>
  <si>
    <t xml:space="preserve">FY created; periods auto-generated or prompted</t>
  </si>
  <si>
    <t xml:space="preserve">P1-FY-036</t>
  </si>
  <si>
    <t xml:space="preserve">FY exists</t>
  </si>
  <si>
    <t xml:space="preserve">1) Create 12 monthly periods</t>
  </si>
  <si>
    <t xml:space="preserve">Periods created, contiguous, non-overlapping</t>
  </si>
  <si>
    <t xml:space="preserve">P1-FY-037</t>
  </si>
  <si>
    <t xml:space="preserve">Periods exist</t>
  </si>
  <si>
    <t xml:space="preserve">1) Create period that overlaps existing</t>
  </si>
  <si>
    <t xml:space="preserve">Overlap rejected</t>
  </si>
  <si>
    <t xml:space="preserve">P1-FY-038</t>
  </si>
  <si>
    <t xml:space="preserve">Period Jan 2026</t>
  </si>
  <si>
    <t xml:space="preserve">1) Close Jan 2026 period</t>
  </si>
  <si>
    <t xml:space="preserve">Period status=Closed; audit log captures actor and timestamp</t>
  </si>
  <si>
    <t xml:space="preserve">P1-FY-039</t>
  </si>
  <si>
    <t xml:space="preserve">Jan 2026 closed</t>
  </si>
  <si>
    <t xml:space="preserve">1) Try to post JE dated Jan 15, 2026</t>
  </si>
  <si>
    <t xml:space="preserve">Posting blocked with 'Period is closed' error</t>
  </si>
  <si>
    <t xml:space="preserve">P1-FY-040</t>
  </si>
  <si>
    <t xml:space="preserve">Non-admin user</t>
  </si>
  <si>
    <t xml:space="preserve">1) Try to reopen closed period</t>
  </si>
  <si>
    <t xml:space="preserve">Blocked; reopen restricted to privileged roles; audit log</t>
  </si>
  <si>
    <t xml:space="preserve">P1-JE-041</t>
  </si>
  <si>
    <t xml:space="preserve">Journals</t>
  </si>
  <si>
    <t xml:space="preserve">Accounts exist</t>
  </si>
  <si>
    <t xml:space="preserve">1) JE &gt; New
2) Line 1: Dr Cash 1000
3) Line 2: Cr Sales 1000
4) Save as Draft
5) Post</t>
  </si>
  <si>
    <t xml:space="preserve">Total debits = total credits</t>
  </si>
  <si>
    <t xml:space="preserve">Draft saves; Post changes state; GL updated; TB still balanced</t>
  </si>
  <si>
    <t xml:space="preserve">P1-JE-042</t>
  </si>
  <si>
    <t xml:space="preserve">1) JE with Dr=1000, Cr=900
2) Try to Post</t>
  </si>
  <si>
    <t xml:space="preserve">Unbalanced 100</t>
  </si>
  <si>
    <t xml:space="preserve">Save may be allowed as draft but Post REJECTED with 'Out of balance' error</t>
  </si>
  <si>
    <t xml:space="preserve">P1-JE-043</t>
  </si>
  <si>
    <t xml:space="preserve">1) JE with all zeros
2) Save/Post</t>
  </si>
  <si>
    <t xml:space="preserve">All amounts=0</t>
  </si>
  <si>
    <t xml:space="preserve">Rejected</t>
  </si>
  <si>
    <t xml:space="preserve">P1-JE-044</t>
  </si>
  <si>
    <t xml:space="preserve">1) JE with only one line
2) Save</t>
  </si>
  <si>
    <t xml:space="preserve">1 line</t>
  </si>
  <si>
    <t xml:space="preserve">Minimum 2 lines enforced</t>
  </si>
  <si>
    <t xml:space="preserve">P1-JE-045</t>
  </si>
  <si>
    <t xml:space="preserve">1) JE with voucher# = 'MAN-001'</t>
  </si>
  <si>
    <t xml:space="preserve">Voucher MAN-001</t>
  </si>
  <si>
    <t xml:space="preserve">Saved with reference; next JE cannot reuse same voucher</t>
  </si>
  <si>
    <t xml:space="preserve">P1-JE-046</t>
  </si>
  <si>
    <t xml:space="preserve">Voucher MAN-001 exists</t>
  </si>
  <si>
    <t xml:space="preserve">1) New JE with voucher MAN-001</t>
  </si>
  <si>
    <t xml:space="preserve">Duplicate voucher</t>
  </si>
  <si>
    <t xml:space="preserve">P1-JE-047</t>
  </si>
  <si>
    <t xml:space="preserve">FY=2026; JE date=2024-01-01</t>
  </si>
  <si>
    <t xml:space="preserve">1) Try to save</t>
  </si>
  <si>
    <t xml:space="preserve">Date out of FY</t>
  </si>
  <si>
    <t xml:space="preserve">Rejected with clear message</t>
  </si>
  <si>
    <t xml:space="preserve">P1-JE-048</t>
  </si>
  <si>
    <t xml:space="preserve">FC account exists</t>
  </si>
  <si>
    <t xml:space="preserve">1) JE with FC amounts
2) Verify FX</t>
  </si>
  <si>
    <t xml:space="preserve">USD→SAR @ 3.75</t>
  </si>
  <si>
    <t xml:space="preserve">Functional amounts recomputed; FX rate source and date shown</t>
  </si>
  <si>
    <t xml:space="preserve">P1-JE-049</t>
  </si>
  <si>
    <t xml:space="preserve">1) Attach PDF to JE
2) Post
3) Verify attachment persists</t>
  </si>
  <si>
    <t xml:space="preserve">PDF file</t>
  </si>
  <si>
    <t xml:space="preserve">Attachment saved; viewable; referenced from JE; access-controlled</t>
  </si>
  <si>
    <t xml:space="preserve">P1-PST-050</t>
  </si>
  <si>
    <t xml:space="preserve">Posting</t>
  </si>
  <si>
    <t xml:space="preserve">Draft JE P1-JE-041</t>
  </si>
  <si>
    <t xml:space="preserve">1) Post
2) Check GL</t>
  </si>
  <si>
    <t xml:space="preserve">GL shows lines; running balance correct on each account</t>
  </si>
  <si>
    <t xml:space="preserve">P1-PST-051</t>
  </si>
  <si>
    <t xml:space="preserve">JE posted</t>
  </si>
  <si>
    <t xml:space="preserve">1) Open JE
2) Try to edit amounts</t>
  </si>
  <si>
    <t xml:space="preserve">Editing disabled; only Reverse or Note allowed</t>
  </si>
  <si>
    <t xml:space="preserve">P1-PST-052</t>
  </si>
  <si>
    <t xml:space="preserve">1) Reverse JE
2) Check GL</t>
  </si>
  <si>
    <t xml:space="preserve">Select reversal date</t>
  </si>
  <si>
    <t xml:space="preserve">New reversal JE created; original &amp; reversal linked; net effect = 0</t>
  </si>
  <si>
    <t xml:space="preserve">P1-PST-053</t>
  </si>
  <si>
    <t xml:space="preserve">JE already reversed</t>
  </si>
  <si>
    <t xml:space="preserve">1) Reverse again</t>
  </si>
  <si>
    <t xml:space="preserve">P1-PST-054</t>
  </si>
  <si>
    <t xml:space="preserve">Draft JE</t>
  </si>
  <si>
    <t xml:space="preserve">1) Delete draft</t>
  </si>
  <si>
    <t xml:space="preserve">Allowed; no GL impact</t>
  </si>
  <si>
    <t xml:space="preserve">P1-PST-055</t>
  </si>
  <si>
    <t xml:space="preserve">Posted JE</t>
  </si>
  <si>
    <t xml:space="preserve">Blocked; only reversal allowed</t>
  </si>
  <si>
    <t xml:space="preserve">P1-GL-056</t>
  </si>
  <si>
    <t xml:space="preserve">GL</t>
  </si>
  <si>
    <t xml:space="preserve">Posted entries exist</t>
  </si>
  <si>
    <t xml:space="preserve">1) Open GL for account 1010</t>
  </si>
  <si>
    <t xml:space="preserve">Date range</t>
  </si>
  <si>
    <t xml:space="preserve">All posted lines listed; opening+movements=closing</t>
  </si>
  <si>
    <t xml:space="preserve">P1-GL-057</t>
  </si>
  <si>
    <t xml:space="preserve">Multiple JEs</t>
  </si>
  <si>
    <t xml:space="preserve">1) Compute sum of Dr and Cr across ALL accounts
2) Compare</t>
  </si>
  <si>
    <t xml:space="preserve">Sum(Dr)=Sum(Cr) across entire GL</t>
  </si>
  <si>
    <t xml:space="preserve">P1-TB-058</t>
  </si>
  <si>
    <t xml:space="preserve">Trial Balance</t>
  </si>
  <si>
    <t xml:space="preserve">Posted entries</t>
  </si>
  <si>
    <t xml:space="preserve">1) Open TB
2) Sum Dr vs Sum Cr</t>
  </si>
  <si>
    <t xml:space="preserve">Balanced. If not balanced = immediate FAIL Severity=Critical</t>
  </si>
  <si>
    <t xml:space="preserve">P1-TB-059</t>
  </si>
  <si>
    <t xml:space="preserve">1) Filter TB by date range and branch</t>
  </si>
  <si>
    <t xml:space="preserve">Results reflect filters; totals recompute</t>
  </si>
  <si>
    <t xml:space="preserve">P1-TB-060</t>
  </si>
  <si>
    <t xml:space="preserve">Audit</t>
  </si>
  <si>
    <t xml:space="preserve">Any transaction</t>
  </si>
  <si>
    <t xml:space="preserve">1) Check audit log for: create, edit, post, reverse, delete of JE</t>
  </si>
  <si>
    <t xml:space="preserve">Each event logged with user, timestamp, before/after diff</t>
  </si>
  <si>
    <t xml:space="preserve">Phase 2 — Sales &amp; Receivables</t>
  </si>
  <si>
    <t xml:space="preserve">Total cases: 45  |  Fill 'Status' (dropdown). 'Severity' applies only if Fail.</t>
  </si>
  <si>
    <t xml:space="preserve">P2-CUS-001</t>
  </si>
  <si>
    <t xml:space="preserve">Customers</t>
  </si>
  <si>
    <t xml:space="preserve">1) Customers &gt; New
2) Fill Name, Tax No., AR account, Currency
3) Save</t>
  </si>
  <si>
    <t xml:space="preserve">Name='Alpha Co', VAT valid, AR=1200</t>
  </si>
  <si>
    <t xml:space="preserve">Customer saved; default AR account applied; unique code</t>
  </si>
  <si>
    <t xml:space="preserve">P2-CUS-002</t>
  </si>
  <si>
    <t xml:space="preserve">Customer Alpha Co exists</t>
  </si>
  <si>
    <t xml:space="preserve">1) Create duplicate VAT</t>
  </si>
  <si>
    <t xml:space="preserve">Same VAT</t>
  </si>
  <si>
    <t xml:space="preserve">P2-CUS-003</t>
  </si>
  <si>
    <t xml:space="preserve">Customer exists</t>
  </si>
  <si>
    <t xml:space="preserve">1) Set credit limit=5,000 SAR</t>
  </si>
  <si>
    <t xml:space="preserve">Limit stored; visible on customer page</t>
  </si>
  <si>
    <t xml:space="preserve">P2-CUS-004</t>
  </si>
  <si>
    <t xml:space="preserve">Credit limit 5000</t>
  </si>
  <si>
    <t xml:space="preserve">1) Issue invoice 6000 SAR for this customer</t>
  </si>
  <si>
    <t xml:space="preserve">System warns OR blocks based on policy; policy is documented</t>
  </si>
  <si>
    <t xml:space="preserve">P2-CUS-005</t>
  </si>
  <si>
    <t xml:space="preserve">Inactive customer</t>
  </si>
  <si>
    <t xml:space="preserve">1) Try to select inactive customer on new invoice</t>
  </si>
  <si>
    <t xml:space="preserve">Not listed / rejected</t>
  </si>
  <si>
    <t xml:space="preserve">P2-CUS-006</t>
  </si>
  <si>
    <t xml:space="preserve">1) Add multiple addresses (billing/shipping)</t>
  </si>
  <si>
    <t xml:space="preserve">Both saved and selectable on invoice</t>
  </si>
  <si>
    <t xml:space="preserve">P2-CUS-007</t>
  </si>
  <si>
    <t xml:space="preserve">Customer with transactions</t>
  </si>
  <si>
    <t xml:space="preserve">Blocked; deactivate offered</t>
  </si>
  <si>
    <t xml:space="preserve">P2-INV-008</t>
  </si>
  <si>
    <t xml:space="preserve">Invoices</t>
  </si>
  <si>
    <t xml:space="preserve">Customer + Item exist</t>
  </si>
  <si>
    <t xml:space="preserve">1) New Invoice
2) Select Alpha Co
3) Add line: Item A, Qty=10, Price=100, Tax=15%
4) Save as Draft</t>
  </si>
  <si>
    <t xml:space="preserve">Line total: 1000 + 150 tax = 1150</t>
  </si>
  <si>
    <t xml:space="preserve">Subtotal=1000, Tax=150, Total=1150 computed correctly</t>
  </si>
  <si>
    <t xml:space="preserve">P2-INV-009</t>
  </si>
  <si>
    <t xml:space="preserve">1) Invoice with 3 lines, different tax rates, mixed qty</t>
  </si>
  <si>
    <t xml:space="preserve">Each line computed separately; totals correct; rounding consistent</t>
  </si>
  <si>
    <t xml:space="preserve">P2-INV-010</t>
  </si>
  <si>
    <t xml:space="preserve">Line discount 10%</t>
  </si>
  <si>
    <t xml:space="preserve">1) Line: Qty 10 * 100, discount 10%</t>
  </si>
  <si>
    <t xml:space="preserve">Net=900; tax applied on 900</t>
  </si>
  <si>
    <t xml:space="preserve">P2-INV-011</t>
  </si>
  <si>
    <t xml:space="preserve">Invoice-level discount</t>
  </si>
  <si>
    <t xml:space="preserve">1) Invoice discount 50 SAR</t>
  </si>
  <si>
    <t xml:space="preserve">Discount applied once; tax base adjusted correctly per policy</t>
  </si>
  <si>
    <t xml:space="preserve">P2-INV-012</t>
  </si>
  <si>
    <t xml:space="preserve">FC customer</t>
  </si>
  <si>
    <t xml:space="preserve">1) Create invoice in USD</t>
  </si>
  <si>
    <t xml:space="preserve">USD</t>
  </si>
  <si>
    <t xml:space="preserve">Amounts in USD; FX applied at posting; AR in both currencies</t>
  </si>
  <si>
    <t xml:space="preserve">P2-INV-013</t>
  </si>
  <si>
    <t xml:space="preserve">Invoice date 2026-04-23</t>
  </si>
  <si>
    <t xml:space="preserve">1) Due date 2026-04-20 (before invoice date)</t>
  </si>
  <si>
    <t xml:space="preserve">P2-INV-014</t>
  </si>
  <si>
    <t xml:space="preserve">Period 2026-03 closed</t>
  </si>
  <si>
    <t xml:space="preserve">1) Try to issue invoice dated 2026-03-15</t>
  </si>
  <si>
    <t xml:space="preserve">P2-INV-015</t>
  </si>
  <si>
    <t xml:space="preserve">1) Save invoice with 0 lines</t>
  </si>
  <si>
    <t xml:space="preserve">Rejected; at least 1 line required</t>
  </si>
  <si>
    <t xml:space="preserve">P2-INV-016</t>
  </si>
  <si>
    <t xml:space="preserve">Draft invoice</t>
  </si>
  <si>
    <t xml:space="preserve">1) Click Issue/Post</t>
  </si>
  <si>
    <t xml:space="preserve">Status → Issued; invoice number allocated; JE auto-created</t>
  </si>
  <si>
    <t xml:space="preserve">P2-INV-017</t>
  </si>
  <si>
    <t xml:space="preserve">Invoice issued</t>
  </si>
  <si>
    <t xml:space="preserve">1) Inspect auto-created JE</t>
  </si>
  <si>
    <t xml:space="preserve">Dr AR 1150, Cr Revenue 1000, Cr Output VAT 150 — amounts must match exactly</t>
  </si>
  <si>
    <t xml:space="preserve">P2-INV-018</t>
  </si>
  <si>
    <t xml:space="preserve">1) Try to edit lines</t>
  </si>
  <si>
    <t xml:space="preserve">Blocked; requires credit note or unpost (if allowed)</t>
  </si>
  <si>
    <t xml:space="preserve">P2-INV-019</t>
  </si>
  <si>
    <t xml:space="preserve">1) Cancel/Void invoice</t>
  </si>
  <si>
    <t xml:space="preserve">Status=Void; reversal JE created; audit log</t>
  </si>
  <si>
    <t xml:space="preserve">P2-INV-020</t>
  </si>
  <si>
    <t xml:space="preserve">Invoice with tax</t>
  </si>
  <si>
    <t xml:space="preserve">1) Export as PDF</t>
  </si>
  <si>
    <t xml:space="preserve">PDF contains correct totals, customer info, tax breakdown, invoice #</t>
  </si>
  <si>
    <t xml:space="preserve">P2-RCV-021</t>
  </si>
  <si>
    <t xml:space="preserve">Receipts</t>
  </si>
  <si>
    <t xml:space="preserve">Invoice issued 1150 SAR</t>
  </si>
  <si>
    <t xml:space="preserve">1) New Receipt
2) Allocate full 1150 to invoice
3) Post</t>
  </si>
  <si>
    <t xml:space="preserve">Payment 1150</t>
  </si>
  <si>
    <t xml:space="preserve">Invoice status → Paid; AR reduced; Cash/Bank Dr 1150</t>
  </si>
  <si>
    <t xml:space="preserve">P2-RCV-022</t>
  </si>
  <si>
    <t xml:space="preserve">Open invoice 1150</t>
  </si>
  <si>
    <t xml:space="preserve">1) Partial payment 500</t>
  </si>
  <si>
    <t xml:space="preserve">Invoice status=Partially Paid; remaining balance 650 correct</t>
  </si>
  <si>
    <t xml:space="preserve">P2-RCV-023</t>
  </si>
  <si>
    <t xml:space="preserve">Invoice balance 650</t>
  </si>
  <si>
    <t xml:space="preserve">1) Allocate 700 to this invoice</t>
  </si>
  <si>
    <t xml:space="preserve">Over-allocation rejected</t>
  </si>
  <si>
    <t xml:space="preserve">P2-RCV-024</t>
  </si>
  <si>
    <t xml:space="preserve">Customer has 3 open invoices</t>
  </si>
  <si>
    <t xml:space="preserve">1) Create receipt of 2000
2) Do not allocate</t>
  </si>
  <si>
    <t xml:space="preserve">On-account credit recorded on customer</t>
  </si>
  <si>
    <t xml:space="preserve">P2-RCV-025</t>
  </si>
  <si>
    <t xml:space="preserve">On-account 2000 exists</t>
  </si>
  <si>
    <t xml:space="preserve">1) Allocate to invoices</t>
  </si>
  <si>
    <t xml:space="preserve">Allocations recorded; customer balance updated</t>
  </si>
  <si>
    <t xml:space="preserve">P2-RCV-026</t>
  </si>
  <si>
    <t xml:space="preserve">Receipt posted</t>
  </si>
  <si>
    <t xml:space="preserve">1) Reverse receipt</t>
  </si>
  <si>
    <t xml:space="preserve">Reversal JE created; invoice reverts to previous status; audit trail preserved</t>
  </si>
  <si>
    <t xml:space="preserve">P2-RCV-027</t>
  </si>
  <si>
    <t xml:space="preserve">FC invoice</t>
  </si>
  <si>
    <t xml:space="preserve">1) Receive payment in same or different FX rate</t>
  </si>
  <si>
    <t xml:space="preserve">FX gain/loss JE generated and posted to correct accounts</t>
  </si>
  <si>
    <t xml:space="preserve">P2-RCV-028</t>
  </si>
  <si>
    <t xml:space="preserve">1) Receipt with amount=0 or negative</t>
  </si>
  <si>
    <t xml:space="preserve">P2-CN-029</t>
  </si>
  <si>
    <t xml:space="preserve">Credit Notes</t>
  </si>
  <si>
    <t xml:space="preserve">Issued invoice 1150</t>
  </si>
  <si>
    <t xml:space="preserve">1) Create CN of 230 (line return)
2) Post</t>
  </si>
  <si>
    <t xml:space="preserve">CN posted; JE: Dr Revenue 200, Dr Tax 30, Cr AR 230; invoice net balance recalculated</t>
  </si>
  <si>
    <t xml:space="preserve">P2-CN-030</t>
  </si>
  <si>
    <t xml:space="preserve">Invoice remaining 920</t>
  </si>
  <si>
    <t xml:space="preserve">1) CN for 1000 (exceeds)</t>
  </si>
  <si>
    <t xml:space="preserve">Rejected if policy doesn't allow</t>
  </si>
  <si>
    <t xml:space="preserve">P2-CN-031</t>
  </si>
  <si>
    <t xml:space="preserve">Debit Notes</t>
  </si>
  <si>
    <t xml:space="preserve">Customer</t>
  </si>
  <si>
    <t xml:space="preserve">1) Raise debit note for extra charge</t>
  </si>
  <si>
    <t xml:space="preserve">DN posts Dr AR / Cr Revenue (or fee account)</t>
  </si>
  <si>
    <t xml:space="preserve">P2-CN-032</t>
  </si>
  <si>
    <t xml:space="preserve">Standalone CN (no invoice link)</t>
  </si>
  <si>
    <t xml:space="preserve">1) Post CN</t>
  </si>
  <si>
    <t xml:space="preserve">Allowed with reason; balance updated</t>
  </si>
  <si>
    <t xml:space="preserve">P2-CN-033</t>
  </si>
  <si>
    <t xml:space="preserve">Closed period</t>
  </si>
  <si>
    <t xml:space="preserve">1) Post CN dated in closed period</t>
  </si>
  <si>
    <t xml:space="preserve">P2-CN-034</t>
  </si>
  <si>
    <t xml:space="preserve">CN posted</t>
  </si>
  <si>
    <t xml:space="preserve">1) Verify tax report reflects CN</t>
  </si>
  <si>
    <t xml:space="preserve">Output VAT reduced by CN amount</t>
  </si>
  <si>
    <t xml:space="preserve">P2-STM-035</t>
  </si>
  <si>
    <t xml:space="preserve">Statements</t>
  </si>
  <si>
    <t xml:space="preserve">Multiple invoices &amp; receipts</t>
  </si>
  <si>
    <t xml:space="preserve">1) Generate Customer Statement</t>
  </si>
  <si>
    <t xml:space="preserve">Shows all invoices, receipts, credit notes, net balance; balance matches AR subsidiary</t>
  </si>
  <si>
    <t xml:space="preserve">P2-STM-036</t>
  </si>
  <si>
    <t xml:space="preserve">1) Compare Customer Statement balance vs Customer Card balance</t>
  </si>
  <si>
    <t xml:space="preserve">Match exactly</t>
  </si>
  <si>
    <t xml:space="preserve">P2-AGE-037</t>
  </si>
  <si>
    <t xml:space="preserve">Aging</t>
  </si>
  <si>
    <t xml:space="preserve">Overdue invoices at various ages</t>
  </si>
  <si>
    <t xml:space="preserve">1) Open Aged Receivables</t>
  </si>
  <si>
    <t xml:space="preserve">Correct bucketing (Current/1-30/31-60/61-90/90+); totals match AR GL</t>
  </si>
  <si>
    <t xml:space="preserve">P2-AGE-038</t>
  </si>
  <si>
    <t xml:space="preserve">As-of-date filter</t>
  </si>
  <si>
    <t xml:space="preserve">1) Run aging at two different dates</t>
  </si>
  <si>
    <t xml:space="preserve">Results change appropriately; re-run consistent</t>
  </si>
  <si>
    <t xml:space="preserve">P2-STM-039</t>
  </si>
  <si>
    <t xml:space="preserve">1) Export statement PDF/Excel</t>
  </si>
  <si>
    <t xml:space="preserve">Export readable; totals match on-screen</t>
  </si>
  <si>
    <t xml:space="preserve">P2-POS-040</t>
  </si>
  <si>
    <t xml:space="preserve">Auto-Posting</t>
  </si>
  <si>
    <t xml:space="preserve">1) Review JE created</t>
  </si>
  <si>
    <t xml:space="preserve">JE: Dr AR control / Cr Revenue / Cr Output VAT — all amounts tied to invoice</t>
  </si>
  <si>
    <t xml:space="preserve">P2-POS-041</t>
  </si>
  <si>
    <t xml:space="preserve">1) Review JE</t>
  </si>
  <si>
    <t xml:space="preserve">Dr Cash/Bank / Cr AR; same customer reflected</t>
  </si>
  <si>
    <t xml:space="preserve">P2-POS-042</t>
  </si>
  <si>
    <t xml:space="preserve">Dr Revenue / Dr Tax / Cr AR</t>
  </si>
  <si>
    <t xml:space="preserve">P2-REC-043</t>
  </si>
  <si>
    <t xml:space="preserve">Reconciliation</t>
  </si>
  <si>
    <t xml:space="preserve">Multiple customers</t>
  </si>
  <si>
    <t xml:space="preserve">1) Sum of open customer balances
2) Compare to AR GL balance</t>
  </si>
  <si>
    <t xml:space="preserve">Must match to the cent. Mismatch = immediate FAIL Severity=Critical</t>
  </si>
  <si>
    <t xml:space="preserve">P2-REC-044</t>
  </si>
  <si>
    <t xml:space="preserve">FC receipts</t>
  </si>
  <si>
    <t xml:space="preserve">1) Verify FX gain/loss in P&amp;L</t>
  </si>
  <si>
    <t xml:space="preserve">FX posted to proper account; tied to AR revaluation policy</t>
  </si>
  <si>
    <t xml:space="preserve">P2-REC-045</t>
  </si>
  <si>
    <t xml:space="preserve">Multi-branch</t>
  </si>
  <si>
    <t xml:space="preserve">1) Post invoice in Branch A
2) Verify AR of Branch A only affected</t>
  </si>
  <si>
    <t xml:space="preserve">No cross-branch contamination</t>
  </si>
  <si>
    <t xml:space="preserve">Phase 3 — Purchases &amp; Payables</t>
  </si>
  <si>
    <t xml:space="preserve">Total cases: 40  |  Fill 'Status' (dropdown). 'Severity' applies only if Fail.</t>
  </si>
  <si>
    <t xml:space="preserve">P3-VND-001</t>
  </si>
  <si>
    <t xml:space="preserve">Vendors</t>
  </si>
  <si>
    <t xml:space="preserve">1) Vendors &gt; New
2) Fill Name, VAT, AP account
3) Save</t>
  </si>
  <si>
    <t xml:space="preserve">Name='Vendor X', VAT valid, AP=2100</t>
  </si>
  <si>
    <t xml:space="preserve">Vendor saved; AP link correct</t>
  </si>
  <si>
    <t xml:space="preserve">P3-VND-002</t>
  </si>
  <si>
    <t xml:space="preserve">Vendor X exists</t>
  </si>
  <si>
    <t xml:space="preserve">Duplicate VAT</t>
  </si>
  <si>
    <t xml:space="preserve">P3-VND-003</t>
  </si>
  <si>
    <t xml:space="preserve">Vendor inactive</t>
  </si>
  <si>
    <t xml:space="preserve">1) Select inactive vendor on new PI</t>
  </si>
  <si>
    <t xml:space="preserve">Not listed</t>
  </si>
  <si>
    <t xml:space="preserve">P3-VND-004</t>
  </si>
  <si>
    <t xml:space="preserve">1) Set vendor payment terms (Net 30)</t>
  </si>
  <si>
    <t xml:space="preserve">Terms stored; due date auto-calc on PI</t>
  </si>
  <si>
    <t xml:space="preserve">P3-VND-005</t>
  </si>
  <si>
    <t xml:space="preserve">User in Company A</t>
  </si>
  <si>
    <t xml:space="preserve">1) Try to view vendor of Company B</t>
  </si>
  <si>
    <t xml:space="preserve">P3-VND-006</t>
  </si>
  <si>
    <t xml:space="preserve">Vendor with transactions</t>
  </si>
  <si>
    <t xml:space="preserve">P3-PI-007</t>
  </si>
  <si>
    <t xml:space="preserve">Purchase Invoices</t>
  </si>
  <si>
    <t xml:space="preserve">Vendor + item exist</t>
  </si>
  <si>
    <t xml:space="preserve">1) New PI
2) Vendor X, Item A, Qty 10 @ 80, VAT 15%
3) Save</t>
  </si>
  <si>
    <t xml:space="preserve">Subtotal 800, VAT 120, Total 920</t>
  </si>
  <si>
    <t xml:space="preserve">Totals computed correctly</t>
  </si>
  <si>
    <t xml:space="preserve">P3-PI-008</t>
  </si>
  <si>
    <t xml:space="preserve">PI saved</t>
  </si>
  <si>
    <t xml:space="preserve">1) Post PI
2) Inspect JE</t>
  </si>
  <si>
    <t xml:space="preserve">JE: Dr Inventory/Expense 800, Dr Input VAT 120, Cr AP 920</t>
  </si>
  <si>
    <t xml:space="preserve">P3-PI-009</t>
  </si>
  <si>
    <t xml:space="preserve">1) PI with 3 lines, diff tax rates</t>
  </si>
  <si>
    <t xml:space="preserve">Totals per line + overall correct</t>
  </si>
  <si>
    <t xml:space="preserve">P3-PI-010</t>
  </si>
  <si>
    <t xml:space="preserve">1) PI with zero lines</t>
  </si>
  <si>
    <t xml:space="preserve">P3-PI-011</t>
  </si>
  <si>
    <t xml:space="preserve">Period closed</t>
  </si>
  <si>
    <t xml:space="preserve">1) Try to post PI in closed period</t>
  </si>
  <si>
    <t xml:space="preserve">P3-PI-012</t>
  </si>
  <si>
    <t xml:space="preserve">PI posted</t>
  </si>
  <si>
    <t xml:space="preserve">1) Try to edit line amounts</t>
  </si>
  <si>
    <t xml:space="preserve">Blocked; requires reversal or vendor CN</t>
  </si>
  <si>
    <t xml:space="preserve">P3-PI-013</t>
  </si>
  <si>
    <t xml:space="preserve">Vendor invoice #INV-2026-001</t>
  </si>
  <si>
    <t xml:space="preserve">1) Create 2 PIs with same vendor invoice ref</t>
  </si>
  <si>
    <t xml:space="preserve">Duplicate vendor reference warning or block per policy</t>
  </si>
  <si>
    <t xml:space="preserve">P3-PI-014</t>
  </si>
  <si>
    <t xml:space="preserve">1) Attach vendor bill PDF</t>
  </si>
  <si>
    <t xml:space="preserve">Attachment stored and retrievable</t>
  </si>
  <si>
    <t xml:space="preserve">P3-PI-015</t>
  </si>
  <si>
    <t xml:space="preserve">Link to PO (if feature exists)</t>
  </si>
  <si>
    <t xml:space="preserve">1) Create PI from PO</t>
  </si>
  <si>
    <t xml:space="preserve">Quantities/prices copied; 3-way match available</t>
  </si>
  <si>
    <t xml:space="preserve">P3-PI-016</t>
  </si>
  <si>
    <t xml:space="preserve">PDF has correct fields</t>
  </si>
  <si>
    <t xml:space="preserve">P3-PI-017</t>
  </si>
  <si>
    <t xml:space="preserve">Vendor over credit limit policy (if any)</t>
  </si>
  <si>
    <t xml:space="preserve">1) Create PI beyond limit</t>
  </si>
  <si>
    <t xml:space="preserve">Warning/block per policy</t>
  </si>
  <si>
    <t xml:space="preserve">P3-PI-018</t>
  </si>
  <si>
    <t xml:space="preserve">Multi-currency</t>
  </si>
  <si>
    <t xml:space="preserve">1) PI in USD; vendor is USD</t>
  </si>
  <si>
    <t xml:space="preserve">AP in USD tracked; FX captured</t>
  </si>
  <si>
    <t xml:space="preserve">P3-PAY-019</t>
  </si>
  <si>
    <t xml:space="preserve">Payments</t>
  </si>
  <si>
    <t xml:space="preserve">PI posted 920 SAR</t>
  </si>
  <si>
    <t xml:space="preserve">1) New Payment
2) Allocate 920 to PI
3) Post from Bank</t>
  </si>
  <si>
    <t xml:space="preserve">Full payment</t>
  </si>
  <si>
    <t xml:space="preserve">PI status=Paid; Dr AP 920 / Cr Bank 920</t>
  </si>
  <si>
    <t xml:space="preserve">P3-PAY-020</t>
  </si>
  <si>
    <t xml:space="preserve">Open PI 920</t>
  </si>
  <si>
    <t xml:space="preserve">1) Partial payment 400</t>
  </si>
  <si>
    <t xml:space="preserve">Status=Partially Paid; remaining 520</t>
  </si>
  <si>
    <t xml:space="preserve">P3-PAY-021</t>
  </si>
  <si>
    <t xml:space="preserve">PI balance 520</t>
  </si>
  <si>
    <t xml:space="preserve">1) Allocate payment 600</t>
  </si>
  <si>
    <t xml:space="preserve">P3-PAY-022</t>
  </si>
  <si>
    <t xml:space="preserve">1) Prepayment to vendor (no PI yet)</t>
  </si>
  <si>
    <t xml:space="preserve">On-account prepayment booked; vendor balance credit</t>
  </si>
  <si>
    <t xml:space="preserve">P3-PAY-023</t>
  </si>
  <si>
    <t xml:space="preserve">Prepayment exists</t>
  </si>
  <si>
    <t xml:space="preserve">1) Apply prepayment to new PI</t>
  </si>
  <si>
    <t xml:space="preserve">Allocation works; vendor balance reduces</t>
  </si>
  <si>
    <t xml:space="preserve">P3-PAY-024</t>
  </si>
  <si>
    <t xml:space="preserve">Payment posted</t>
  </si>
  <si>
    <t xml:space="preserve">1) Reverse payment</t>
  </si>
  <si>
    <t xml:space="preserve">Reversal JE; PI reverts to previous status</t>
  </si>
  <si>
    <t xml:space="preserve">P3-PAY-025</t>
  </si>
  <si>
    <t xml:space="preserve">1) Zero or negative payment</t>
  </si>
  <si>
    <t xml:space="preserve">P3-PAY-026</t>
  </si>
  <si>
    <t xml:space="preserve">FX PI</t>
  </si>
  <si>
    <t xml:space="preserve">1) Pay in FC with different FX rate</t>
  </si>
  <si>
    <t xml:space="preserve">FX gain/loss computed &amp; posted</t>
  </si>
  <si>
    <t xml:space="preserve">P3-VCN-027</t>
  </si>
  <si>
    <t xml:space="preserve">Vendor Credit Notes</t>
  </si>
  <si>
    <t xml:space="preserve">PI posted 920</t>
  </si>
  <si>
    <t xml:space="preserve">1) VCN 230 (return)
2) Post</t>
  </si>
  <si>
    <t xml:space="preserve">JE: Dr AP / Cr Inventory or Expense / Cr Input VAT; PI balance reduced</t>
  </si>
  <si>
    <t xml:space="preserve">P3-VCN-028</t>
  </si>
  <si>
    <t xml:space="preserve">Remaining PI 500</t>
  </si>
  <si>
    <t xml:space="preserve">1) VCN 600</t>
  </si>
  <si>
    <t xml:space="preserve">Rejected if policy blocks</t>
  </si>
  <si>
    <t xml:space="preserve">P3-VDN-029</t>
  </si>
  <si>
    <t xml:space="preserve">Vendor Debit Notes</t>
  </si>
  <si>
    <t xml:space="preserve">1) Raise DN for extra fee</t>
  </si>
  <si>
    <t xml:space="preserve">DN posts Dr AP / Cr Fee (or vendor account)</t>
  </si>
  <si>
    <t xml:space="preserve">P3-VCN-030</t>
  </si>
  <si>
    <t xml:space="preserve">Standalone CN</t>
  </si>
  <si>
    <t xml:space="preserve">1) Post with reason</t>
  </si>
  <si>
    <t xml:space="preserve">Allowed</t>
  </si>
  <si>
    <t xml:space="preserve">P3-VCN-031</t>
  </si>
  <si>
    <t xml:space="preserve">VCN posted</t>
  </si>
  <si>
    <t xml:space="preserve">1) Verify Input VAT report reduced</t>
  </si>
  <si>
    <t xml:space="preserve">Input VAT adjusted</t>
  </si>
  <si>
    <t xml:space="preserve">P3-VCN-032</t>
  </si>
  <si>
    <t xml:space="preserve">1) VCN in closed period</t>
  </si>
  <si>
    <t xml:space="preserve">P3-STM-033</t>
  </si>
  <si>
    <t xml:space="preserve">Multiple PIs &amp; payments</t>
  </si>
  <si>
    <t xml:space="preserve">1) Generate Vendor Statement</t>
  </si>
  <si>
    <t xml:space="preserve">All txns shown; balance matches vendor card</t>
  </si>
  <si>
    <t xml:space="preserve">P3-STM-034</t>
  </si>
  <si>
    <t xml:space="preserve">1) Sum of open vendor balances vs AP GL</t>
  </si>
  <si>
    <t xml:space="preserve">Match exactly. Mismatch = FAIL Severity=Critical</t>
  </si>
  <si>
    <t xml:space="preserve">P3-AGE-035</t>
  </si>
  <si>
    <t xml:space="preserve">Overdue PIs</t>
  </si>
  <si>
    <t xml:space="preserve">1) Run Aged Payables</t>
  </si>
  <si>
    <t xml:space="preserve">Correct buckets; totals match AP GL</t>
  </si>
  <si>
    <t xml:space="preserve">P3-AGE-036</t>
  </si>
  <si>
    <t xml:space="preserve">1) Run at two dates</t>
  </si>
  <si>
    <t xml:space="preserve">Consistent with ledger</t>
  </si>
  <si>
    <t xml:space="preserve">P3-POS-037</t>
  </si>
  <si>
    <t xml:space="preserve">1) Inspect JE</t>
  </si>
  <si>
    <t xml:space="preserve">Dr Inventory/Expense + Dr Input VAT / Cr AP control — tied to PI</t>
  </si>
  <si>
    <t xml:space="preserve">P3-POS-038</t>
  </si>
  <si>
    <t xml:space="preserve">Dr AP / Cr Bank or Cash</t>
  </si>
  <si>
    <t xml:space="preserve">P3-POS-039</t>
  </si>
  <si>
    <t xml:space="preserve">Dr AP / Cr Inventory/Expense + Cr Input VAT</t>
  </si>
  <si>
    <t xml:space="preserve">P3-POS-040</t>
  </si>
  <si>
    <t xml:space="preserve">1) PI in Branch B</t>
  </si>
  <si>
    <t xml:space="preserve">AP of Branch B only affected; no cross-branch</t>
  </si>
  <si>
    <t xml:space="preserve">Phase 4 — Treasury / Cash / Bank / Reconciliation</t>
  </si>
  <si>
    <t xml:space="preserve">Total cases: 35  |  Fill 'Status' (dropdown). 'Severity' applies only if Fail.</t>
  </si>
  <si>
    <t xml:space="preserve">P4-CB-001</t>
  </si>
  <si>
    <t xml:space="preserve">Cashboxes</t>
  </si>
  <si>
    <t xml:space="preserve">1) Treasury &gt; Cashboxes &gt; New
2) Name, Currency, GL account, Branch
3) Save</t>
  </si>
  <si>
    <t xml:space="preserve">Cashbox 'Main Cash', SAR, linked to 1010</t>
  </si>
  <si>
    <t xml:space="preserve">Cashbox created; GL link valid</t>
  </si>
  <si>
    <t xml:space="preserve">P4-CB-002</t>
  </si>
  <si>
    <t xml:space="preserve">Cashbox without GL link</t>
  </si>
  <si>
    <t xml:space="preserve">1) Save</t>
  </si>
  <si>
    <t xml:space="preserve">P4-CB-003</t>
  </si>
  <si>
    <t xml:space="preserve">Cashbox is inactive</t>
  </si>
  <si>
    <t xml:space="preserve">1) Try to post cash transaction</t>
  </si>
  <si>
    <t xml:space="preserve">P4-CB-004</t>
  </si>
  <si>
    <t xml:space="preserve">1) Branch A user cannot use Branch B cashbox</t>
  </si>
  <si>
    <t xml:space="preserve">Access controlled</t>
  </si>
  <si>
    <t xml:space="preserve">P4-CB-005</t>
  </si>
  <si>
    <t xml:space="preserve">Cashbox with transactions</t>
  </si>
  <si>
    <t xml:space="preserve">P4-BA-006</t>
  </si>
  <si>
    <t xml:space="preserve">Bank Accounts</t>
  </si>
  <si>
    <t xml:space="preserve">1) New Bank Account
2) IBAN, Swift, Currency, GL</t>
  </si>
  <si>
    <t xml:space="preserve">IBAN SA valid</t>
  </si>
  <si>
    <t xml:space="preserve">Bank account saved; GL linked</t>
  </si>
  <si>
    <t xml:space="preserve">P4-BA-007</t>
  </si>
  <si>
    <t xml:space="preserve">Duplicate IBAN</t>
  </si>
  <si>
    <t xml:space="preserve">1) Create with same IBAN</t>
  </si>
  <si>
    <t xml:space="preserve">P4-BA-008</t>
  </si>
  <si>
    <t xml:space="preserve">FC bank</t>
  </si>
  <si>
    <t xml:space="preserve">1) Create USD bank account</t>
  </si>
  <si>
    <t xml:space="preserve">Multi-currency supported; revaluation policy documented</t>
  </si>
  <si>
    <t xml:space="preserve">P4-BA-009</t>
  </si>
  <si>
    <t xml:space="preserve">Inactive bank</t>
  </si>
  <si>
    <t xml:space="preserve">1) Select on new txn</t>
  </si>
  <si>
    <t xml:space="preserve">P4-BA-010</t>
  </si>
  <si>
    <t xml:space="preserve">User without Treasury permission</t>
  </si>
  <si>
    <t xml:space="preserve">1) Try to view bank accounts</t>
  </si>
  <si>
    <t xml:space="preserve">Blocked at UI and API</t>
  </si>
  <si>
    <t xml:space="preserve">P4-PM-011</t>
  </si>
  <si>
    <t xml:space="preserve">Payment Methods</t>
  </si>
  <si>
    <t xml:space="preserve">1) Define methods: Cash, Transfer, Check, Card</t>
  </si>
  <si>
    <t xml:space="preserve">All selectable on receipts/payments</t>
  </si>
  <si>
    <t xml:space="preserve">P4-PM-012</t>
  </si>
  <si>
    <t xml:space="preserve">1) Link each method to default cash/bank</t>
  </si>
  <si>
    <t xml:space="preserve">Default propagates correctly</t>
  </si>
  <si>
    <t xml:space="preserve">P4-PM-013</t>
  </si>
  <si>
    <t xml:space="preserve">1) Post receipt via each method</t>
  </si>
  <si>
    <t xml:space="preserve">Each posts to correct GL account</t>
  </si>
  <si>
    <t xml:space="preserve">P4-TX-014</t>
  </si>
  <si>
    <t xml:space="preserve">Cash In</t>
  </si>
  <si>
    <t xml:space="preserve">Cashbox exists</t>
  </si>
  <si>
    <t xml:space="preserve">1) Cash In 500 SAR from 'Other Income'</t>
  </si>
  <si>
    <t xml:space="preserve">Balance +500; JE Dr Cash / Cr Income</t>
  </si>
  <si>
    <t xml:space="preserve">P4-TX-015</t>
  </si>
  <si>
    <t xml:space="preserve">Cash Out</t>
  </si>
  <si>
    <t xml:space="preserve">Cashbox balance 500</t>
  </si>
  <si>
    <t xml:space="preserve">1) Cash Out 200 to Expense</t>
  </si>
  <si>
    <t xml:space="preserve">Balance -200; JE Dr Expense / Cr Cash</t>
  </si>
  <si>
    <t xml:space="preserve">P4-TX-016</t>
  </si>
  <si>
    <t xml:space="preserve">Balance 300</t>
  </si>
  <si>
    <t xml:space="preserve">1) Cash Out 500</t>
  </si>
  <si>
    <t xml:space="preserve">Blocked if negative-balance policy = No</t>
  </si>
  <si>
    <t xml:space="preserve">P4-TX-017</t>
  </si>
  <si>
    <t xml:space="preserve">Bank In</t>
  </si>
  <si>
    <t xml:space="preserve">Bank account exists</t>
  </si>
  <si>
    <t xml:space="preserve">1) Bank deposit 10,000</t>
  </si>
  <si>
    <t xml:space="preserve">Balance +10,000; correct JE</t>
  </si>
  <si>
    <t xml:space="preserve">P4-TX-018</t>
  </si>
  <si>
    <t xml:space="preserve">Bank Out</t>
  </si>
  <si>
    <t xml:space="preserve">Bank balance 10,000</t>
  </si>
  <si>
    <t xml:space="preserve">1) Bank payment 3,000</t>
  </si>
  <si>
    <t xml:space="preserve">Balance -3,000; JE correct</t>
  </si>
  <si>
    <t xml:space="preserve">P4-TX-019</t>
  </si>
  <si>
    <t xml:space="preserve">Transactions</t>
  </si>
  <si>
    <t xml:space="preserve">1) Post transaction with date in closed period</t>
  </si>
  <si>
    <t xml:space="preserve">P4-TX-020</t>
  </si>
  <si>
    <t xml:space="preserve">1) Zero or negative amount</t>
  </si>
  <si>
    <t xml:space="preserve">P4-TX-021</t>
  </si>
  <si>
    <t xml:space="preserve">1) Missing counter-party or account</t>
  </si>
  <si>
    <t xml:space="preserve">P4-TX-022</t>
  </si>
  <si>
    <t xml:space="preserve">Posted txn</t>
  </si>
  <si>
    <t xml:space="preserve">1) Edit amount after posting</t>
  </si>
  <si>
    <t xml:space="preserve">P4-TX-023</t>
  </si>
  <si>
    <t xml:space="preserve">Draft txn</t>
  </si>
  <si>
    <t xml:space="preserve">1) Delete</t>
  </si>
  <si>
    <t xml:space="preserve">P4-TR-024</t>
  </si>
  <si>
    <t xml:space="preserve">Transfers</t>
  </si>
  <si>
    <t xml:space="preserve">Cash &amp; Bank exist</t>
  </si>
  <si>
    <t xml:space="preserve">1) Transfer 1000 Cash → Bank</t>
  </si>
  <si>
    <t xml:space="preserve">Cash -1000, Bank +1000; JE: Dr Bank / Cr Cash</t>
  </si>
  <si>
    <t xml:space="preserve">P4-TR-025</t>
  </si>
  <si>
    <t xml:space="preserve">1) Bank → Cash 500</t>
  </si>
  <si>
    <t xml:space="preserve">Reverse effect; JE correct</t>
  </si>
  <si>
    <t xml:space="preserve">P4-TR-026</t>
  </si>
  <si>
    <t xml:space="preserve">USD Bank + SAR Bank</t>
  </si>
  <si>
    <t xml:space="preserve">1) Transfer USD→SAR at FX</t>
  </si>
  <si>
    <t xml:space="preserve">FX=3.75</t>
  </si>
  <si>
    <t xml:space="preserve">Both legs posted; FX gain/loss if any</t>
  </si>
  <si>
    <t xml:space="preserve">P4-TR-027</t>
  </si>
  <si>
    <t xml:space="preserve">1) Transfer to same account (source=destination)</t>
  </si>
  <si>
    <t xml:space="preserve">P4-REC-028</t>
  </si>
  <si>
    <t xml:space="preserve">Bank has transactions + statement</t>
  </si>
  <si>
    <t xml:space="preserve">1) Start reconciliation
2) Import or enter statement
3) Match items</t>
  </si>
  <si>
    <t xml:space="preserve">Matched entries marked; unmatched remain</t>
  </si>
  <si>
    <t xml:space="preserve">P4-REC-029</t>
  </si>
  <si>
    <t xml:space="preserve">Reconciliation in progress</t>
  </si>
  <si>
    <t xml:space="preserve">1) Book balance + outstanding = Statement balance</t>
  </si>
  <si>
    <t xml:space="preserve">Formula holds: Book Bal + Outstanding Deposits − Outstanding Checks = Statement Bal</t>
  </si>
  <si>
    <t xml:space="preserve">P4-REC-030</t>
  </si>
  <si>
    <t xml:space="preserve">1) Add adjustment (bank fee, interest)</t>
  </si>
  <si>
    <t xml:space="preserve">Adjustment JE created; reconciliation recalculates</t>
  </si>
  <si>
    <t xml:space="preserve">P4-REC-031</t>
  </si>
  <si>
    <t xml:space="preserve">Rec completed</t>
  </si>
  <si>
    <t xml:space="preserve">1) Lock reconciliation
2) Try to edit locked items</t>
  </si>
  <si>
    <t xml:space="preserve">Edit blocked</t>
  </si>
  <si>
    <t xml:space="preserve">P4-REC-032</t>
  </si>
  <si>
    <t xml:space="preserve">Multiple recs</t>
  </si>
  <si>
    <t xml:space="preserve">1) Book balance (per GL) on recon date vs Bank GL balance</t>
  </si>
  <si>
    <t xml:space="preserve">P4-REC-033</t>
  </si>
  <si>
    <t xml:space="preserve">Period closed after recon</t>
  </si>
  <si>
    <t xml:space="preserve">1) Try to re-open reconciliation</t>
  </si>
  <si>
    <t xml:space="preserve">Governed / requires privilege</t>
  </si>
  <si>
    <t xml:space="preserve">P4-REC-034</t>
  </si>
  <si>
    <t xml:space="preserve">Treasury Reports</t>
  </si>
  <si>
    <t xml:space="preserve">1) Treasury summary vs Bank &amp; Cash GL accounts</t>
  </si>
  <si>
    <t xml:space="preserve">Balances match per account</t>
  </si>
  <si>
    <t xml:space="preserve">P4-REC-035</t>
  </si>
  <si>
    <t xml:space="preserve">Statement imported</t>
  </si>
  <si>
    <t xml:space="preserve">1) Try reconciliation without matching all required items (duplicate match, negative balances)</t>
  </si>
  <si>
    <t xml:space="preserve">System prevents invalid state</t>
  </si>
  <si>
    <t xml:space="preserve">Phase 5 — Inventory / Warehouses / Valuation</t>
  </si>
  <si>
    <t xml:space="preserve">P5-ITM-001</t>
  </si>
  <si>
    <t xml:space="preserve">Items</t>
  </si>
  <si>
    <t xml:space="preserve">1) Items &gt; New
2) Code, Name, Type=Stock, UoM, Cost method, GLs
3) Save</t>
  </si>
  <si>
    <t xml:space="preserve">Item A, UoM=PC, Cost=Avg</t>
  </si>
  <si>
    <t xml:space="preserve">Item saved; GLs linked (Inv, COGS, Sales)</t>
  </si>
  <si>
    <t xml:space="preserve">P5-ITM-002</t>
  </si>
  <si>
    <t xml:space="preserve">1) Create service item (non-stock)</t>
  </si>
  <si>
    <t xml:space="preserve">No stock tracking; revenue-only mapping</t>
  </si>
  <si>
    <t xml:space="preserve">P5-ITM-003</t>
  </si>
  <si>
    <t xml:space="preserve">Item A exists</t>
  </si>
  <si>
    <t xml:space="preserve">1) Duplicate SKU/code</t>
  </si>
  <si>
    <t xml:space="preserve">P5-ITM-004</t>
  </si>
  <si>
    <t xml:space="preserve">1) Multi-UoM with conversion factor</t>
  </si>
  <si>
    <t xml:space="preserve">Box=12 PCs</t>
  </si>
  <si>
    <t xml:space="preserve">Conversions work on txns</t>
  </si>
  <si>
    <t xml:space="preserve">P5-ITM-005</t>
  </si>
  <si>
    <t xml:space="preserve">Item with stock</t>
  </si>
  <si>
    <t xml:space="preserve">P5-ITM-006</t>
  </si>
  <si>
    <t xml:space="preserve">Item A</t>
  </si>
  <si>
    <t xml:space="preserve">1) Verify cost method enforcement across txns</t>
  </si>
  <si>
    <t xml:space="preserve">FIFO or Avg</t>
  </si>
  <si>
    <t xml:space="preserve">Consistent cost flow</t>
  </si>
  <si>
    <t xml:space="preserve">P5-UOM-007</t>
  </si>
  <si>
    <t xml:space="preserve">UoM</t>
  </si>
  <si>
    <t xml:space="preserve">1) Create UoM: PC, BOX, KG</t>
  </si>
  <si>
    <t xml:space="preserve">Each saved</t>
  </si>
  <si>
    <t xml:space="preserve">P5-UOM-008</t>
  </si>
  <si>
    <t xml:space="preserve">1) Conversion PC→BOX</t>
  </si>
  <si>
    <t xml:space="preserve">12:1</t>
  </si>
  <si>
    <t xml:space="preserve">Conversion applied on txns</t>
  </si>
  <si>
    <t xml:space="preserve">P5-UOM-009</t>
  </si>
  <si>
    <t xml:space="preserve">1) Conversion with 0 or negative factor</t>
  </si>
  <si>
    <t xml:space="preserve">P5-CAT-010</t>
  </si>
  <si>
    <t xml:space="preserve">Categories</t>
  </si>
  <si>
    <t xml:space="preserve">1) Create category 'Electronics'</t>
  </si>
  <si>
    <t xml:space="preserve">Saved; items assignable</t>
  </si>
  <si>
    <t xml:space="preserve">P5-CAT-011</t>
  </si>
  <si>
    <t xml:space="preserve">Items in Electronics</t>
  </si>
  <si>
    <t xml:space="preserve">1) Filter inventory report by category</t>
  </si>
  <si>
    <t xml:space="preserve">Works; totals consistent</t>
  </si>
  <si>
    <t xml:space="preserve">P5-CAT-012</t>
  </si>
  <si>
    <t xml:space="preserve">1) Rename category</t>
  </si>
  <si>
    <t xml:space="preserve">Propagates to items</t>
  </si>
  <si>
    <t xml:space="preserve">P5-WH-013</t>
  </si>
  <si>
    <t xml:space="preserve">Warehouses</t>
  </si>
  <si>
    <t xml:space="preserve">1) Create warehouse 'WH-Main'</t>
  </si>
  <si>
    <t xml:space="preserve">Saved; GL link for inventory</t>
  </si>
  <si>
    <t xml:space="preserve">P5-WH-014</t>
  </si>
  <si>
    <t xml:space="preserve">1) Assign WH to Branch A only</t>
  </si>
  <si>
    <t xml:space="preserve">Branch isolation</t>
  </si>
  <si>
    <t xml:space="preserve">P5-WH-015</t>
  </si>
  <si>
    <t xml:space="preserve">1) Default WH per branch</t>
  </si>
  <si>
    <t xml:space="preserve">Auto-applied on new txns</t>
  </si>
  <si>
    <t xml:space="preserve">P5-WH-016</t>
  </si>
  <si>
    <t xml:space="preserve">Inactive WH</t>
  </si>
  <si>
    <t xml:space="preserve">1) Select on transaction</t>
  </si>
  <si>
    <t xml:space="preserve">P5-OB-017</t>
  </si>
  <si>
    <t xml:space="preserve">Opening Balance</t>
  </si>
  <si>
    <t xml:space="preserve">Item A, WH-Main</t>
  </si>
  <si>
    <t xml:space="preserve">1) Enter opening 100 PC @ 80</t>
  </si>
  <si>
    <t xml:space="preserve">Stock = 100; value = 8,000; JE to Opening Equity</t>
  </si>
  <si>
    <t xml:space="preserve">P5-OB-018</t>
  </si>
  <si>
    <t xml:space="preserve">Opening posted</t>
  </si>
  <si>
    <t xml:space="preserve">1) Inventory GL balance = opening total</t>
  </si>
  <si>
    <t xml:space="preserve">Matches</t>
  </si>
  <si>
    <t xml:space="preserve">P5-OB-019</t>
  </si>
  <si>
    <t xml:space="preserve">Already has txns</t>
  </si>
  <si>
    <t xml:space="preserve">1) Edit opening after txn</t>
  </si>
  <si>
    <t xml:space="preserve">P5-RCV-020</t>
  </si>
  <si>
    <t xml:space="preserve">Purchase Receipt</t>
  </si>
  <si>
    <t xml:space="preserve">PI linked</t>
  </si>
  <si>
    <t xml:space="preserve">1) Receive 50 PC @ 85</t>
  </si>
  <si>
    <t xml:space="preserve">Stock +50; value +4,250; weighted avg cost recomputed</t>
  </si>
  <si>
    <t xml:space="preserve">P5-RCV-021</t>
  </si>
  <si>
    <t xml:space="preserve">Sales Issue</t>
  </si>
  <si>
    <t xml:space="preserve">Sale invoice posted</t>
  </si>
  <si>
    <t xml:space="preserve">1) Issue stock on sale</t>
  </si>
  <si>
    <t xml:space="preserve">Qty 20</t>
  </si>
  <si>
    <t xml:space="preserve">Stock -20; COGS recorded at current avg or FIFO</t>
  </si>
  <si>
    <t xml:space="preserve">P5-RCV-022</t>
  </si>
  <si>
    <t xml:space="preserve">Stock 15, demand 20</t>
  </si>
  <si>
    <t xml:space="preserve">1) Issue 20</t>
  </si>
  <si>
    <t xml:space="preserve">Rejected (if negative-stock policy = No)</t>
  </si>
  <si>
    <t xml:space="preserve">P5-RCV-023</t>
  </si>
  <si>
    <t xml:space="preserve">Returns</t>
  </si>
  <si>
    <t xml:space="preserve">Return to vendor</t>
  </si>
  <si>
    <t xml:space="preserve">1) Return 10 to vendor</t>
  </si>
  <si>
    <t xml:space="preserve">Stock -10; value reversed; vendor CN/AP affected</t>
  </si>
  <si>
    <t xml:space="preserve">P5-RCV-024</t>
  </si>
  <si>
    <t xml:space="preserve">Customer return</t>
  </si>
  <si>
    <t xml:space="preserve">1) Receive 5 back</t>
  </si>
  <si>
    <t xml:space="preserve">Stock +5; inventory value recomputed; CN to customer</t>
  </si>
  <si>
    <t xml:space="preserve">P5-RCV-025</t>
  </si>
  <si>
    <t xml:space="preserve">Cost Flow</t>
  </si>
  <si>
    <t xml:space="preserve">FIFO items</t>
  </si>
  <si>
    <t xml:space="preserve">1) Mix receipts at different costs
2) Issue qty &gt; first layer</t>
  </si>
  <si>
    <t xml:space="preserve">FIFO layers consumed correctly; COGS = layer costs</t>
  </si>
  <si>
    <t xml:space="preserve">P5-RCV-026</t>
  </si>
  <si>
    <t xml:space="preserve">Avg items</t>
  </si>
  <si>
    <t xml:space="preserve">1) Repeat with moving average</t>
  </si>
  <si>
    <t xml:space="preserve">Avg cost recomputed on each receipt</t>
  </si>
  <si>
    <t xml:space="preserve">P5-RCV-027</t>
  </si>
  <si>
    <t xml:space="preserve">Accounting</t>
  </si>
  <si>
    <t xml:space="preserve">Sale issue</t>
  </si>
  <si>
    <t xml:space="preserve">1) Verify JE</t>
  </si>
  <si>
    <t xml:space="preserve">Dr COGS / Cr Inventory — amounts match cost layer</t>
  </si>
  <si>
    <t xml:space="preserve">P5-TR-028</t>
  </si>
  <si>
    <t xml:space="preserve">WH-Main and WH-Backup</t>
  </si>
  <si>
    <t xml:space="preserve">1) Transfer 20 PC</t>
  </si>
  <si>
    <t xml:space="preserve">Source -20; Destination +20; in-transit cleared</t>
  </si>
  <si>
    <t xml:space="preserve">P5-TR-029</t>
  </si>
  <si>
    <t xml:space="preserve">1) Transfer to same WH</t>
  </si>
  <si>
    <t xml:space="preserve">P5-TR-030</t>
  </si>
  <si>
    <t xml:space="preserve">Partial receive</t>
  </si>
  <si>
    <t xml:space="preserve">1) Receive 15 of 20 transferred</t>
  </si>
  <si>
    <t xml:space="preserve">5 remain in-transit</t>
  </si>
  <si>
    <t xml:space="preserve">P5-TR-031</t>
  </si>
  <si>
    <t xml:space="preserve">Both WHs</t>
  </si>
  <si>
    <t xml:space="preserve">1) Sum stock on hand across WHs</t>
  </si>
  <si>
    <t xml:space="preserve">Unchanged after transfer (only locations moved)</t>
  </si>
  <si>
    <t xml:space="preserve">P5-SC-032</t>
  </si>
  <si>
    <t xml:space="preserve">Stock Count</t>
  </si>
  <si>
    <t xml:space="preserve">Count session</t>
  </si>
  <si>
    <t xml:space="preserve">1) Freeze; count; enter variance</t>
  </si>
  <si>
    <t xml:space="preserve">System 100, counted 95</t>
  </si>
  <si>
    <t xml:space="preserve">Variance -5; auto-adjustment</t>
  </si>
  <si>
    <t xml:space="preserve">P5-SC-033</t>
  </si>
  <si>
    <t xml:space="preserve">Variance generated</t>
  </si>
  <si>
    <t xml:space="preserve">1) Verify GL impact</t>
  </si>
  <si>
    <t xml:space="preserve">Dr Inventory shrinkage / Cr Inventory (or reverse)</t>
  </si>
  <si>
    <t xml:space="preserve">P5-SC-034</t>
  </si>
  <si>
    <t xml:space="preserve">1) Blind count vs visible system</t>
  </si>
  <si>
    <t xml:space="preserve">Policy toggle works</t>
  </si>
  <si>
    <t xml:space="preserve">P5-SC-035</t>
  </si>
  <si>
    <t xml:space="preserve">Count in progress</t>
  </si>
  <si>
    <t xml:space="preserve">1) Prevent other stock movements during count</t>
  </si>
  <si>
    <t xml:space="preserve">Blocked or freeze enforced</t>
  </si>
  <si>
    <t xml:space="preserve">P5-VAL-036</t>
  </si>
  <si>
    <t xml:space="preserve">Valuation</t>
  </si>
  <si>
    <t xml:space="preserve">All items</t>
  </si>
  <si>
    <t xml:space="preserve">1) Run Inventory Valuation Report</t>
  </si>
  <si>
    <t xml:space="preserve">Total = Sum(qty × unit cost) per method</t>
  </si>
  <si>
    <t xml:space="preserve">P5-VAL-037</t>
  </si>
  <si>
    <t xml:space="preserve">1) Inventory Valuation Total vs Inventory GL balance</t>
  </si>
  <si>
    <t xml:space="preserve">P5-VAL-038</t>
  </si>
  <si>
    <t xml:space="preserve">Item ledger</t>
  </si>
  <si>
    <t xml:space="preserve">1) Open Item A ledger</t>
  </si>
  <si>
    <t xml:space="preserve">Opening + movements = current stock &amp; value</t>
  </si>
  <si>
    <t xml:space="preserve">P5-VAL-039</t>
  </si>
  <si>
    <t xml:space="preserve">Stock on Hand</t>
  </si>
  <si>
    <t xml:space="preserve">1) At a specific date</t>
  </si>
  <si>
    <t xml:space="preserve">Back-dated balance correct</t>
  </si>
  <si>
    <t xml:space="preserve">P5-VAL-040</t>
  </si>
  <si>
    <t xml:space="preserve">FX goods</t>
  </si>
  <si>
    <t xml:space="preserve">1) Import in USD; local cost</t>
  </si>
  <si>
    <t xml:space="preserve">Cost includes landed cost; currency policy clear</t>
  </si>
  <si>
    <t xml:space="preserve">Phase 6 — Tax / Closing / Official Financial Reporting</t>
  </si>
  <si>
    <t xml:space="preserve">Total cases: 30  |  Fill 'Status' (dropdown). 'Severity' applies only if Fail.</t>
  </si>
  <si>
    <t xml:space="preserve">P6-TX-001</t>
  </si>
  <si>
    <t xml:space="preserve">Tax Codes</t>
  </si>
  <si>
    <t xml:space="preserve">1) Tax &gt; New Code
2) VAT 15% Output; linked to 'Output VAT' GL
3) Save</t>
  </si>
  <si>
    <t xml:space="preserve">VAT-OUT-15</t>
  </si>
  <si>
    <t xml:space="preserve">Saved; selectable on invoices</t>
  </si>
  <si>
    <t xml:space="preserve">P6-TX-002</t>
  </si>
  <si>
    <t xml:space="preserve">1) VAT 15% Input / VAT 0% / Exempt</t>
  </si>
  <si>
    <t xml:space="preserve">All four codes (Out, In, Zero, Exempt) created</t>
  </si>
  <si>
    <t xml:space="preserve">P6-TX-003</t>
  </si>
  <si>
    <t xml:space="preserve">Invalid rate</t>
  </si>
  <si>
    <t xml:space="preserve">1) Rate &gt;100% or negative</t>
  </si>
  <si>
    <t xml:space="preserve">P6-TX-004</t>
  </si>
  <si>
    <t xml:space="preserve">1) Map each code to correct GL</t>
  </si>
  <si>
    <t xml:space="preserve">No cross-mapping</t>
  </si>
  <si>
    <t xml:space="preserve">P6-TX-005</t>
  </si>
  <si>
    <t xml:space="preserve">Tax Profiles</t>
  </si>
  <si>
    <t xml:space="preserve">1) Create tax profile grouping codes</t>
  </si>
  <si>
    <t xml:space="preserve">Profiles usable on customers/vendors</t>
  </si>
  <si>
    <t xml:space="preserve">P6-TX-006</t>
  </si>
  <si>
    <t xml:space="preserve">Tax Calc</t>
  </si>
  <si>
    <t xml:space="preserve">Invoice</t>
  </si>
  <si>
    <t xml:space="preserve">1) Line 100 SAR, VAT 15% exclusive</t>
  </si>
  <si>
    <t xml:space="preserve">Tax=15; Total=115</t>
  </si>
  <si>
    <t xml:space="preserve">P6-TX-007</t>
  </si>
  <si>
    <t xml:space="preserve">1) Line 115 SAR, VAT 15% inclusive</t>
  </si>
  <si>
    <t xml:space="preserve">Base=100, Tax=15 extracted correctly</t>
  </si>
  <si>
    <t xml:space="preserve">P6-TX-008</t>
  </si>
  <si>
    <t xml:space="preserve">1) 100 × 10 qty − 10% = 900; VAT 15%</t>
  </si>
  <si>
    <t xml:space="preserve">Tax on 900 = 135</t>
  </si>
  <si>
    <t xml:space="preserve">P6-TX-009</t>
  </si>
  <si>
    <t xml:space="preserve">1) Multi-line with different rates (0/5/15)</t>
  </si>
  <si>
    <t xml:space="preserve">Each line taxed correctly; totals match</t>
  </si>
  <si>
    <t xml:space="preserve">P6-TX-010</t>
  </si>
  <si>
    <t xml:space="preserve">Reverse charge (if feature)</t>
  </si>
  <si>
    <t xml:space="preserve">1) PI with reverse charge code</t>
  </si>
  <si>
    <t xml:space="preserve">Both Input &amp; Output booked; net effect 0</t>
  </si>
  <si>
    <t xml:space="preserve">P6-TX-011</t>
  </si>
  <si>
    <t xml:space="preserve">Rounding</t>
  </si>
  <si>
    <t xml:space="preserve">1) Invoice with odd amounts causing fractions</t>
  </si>
  <si>
    <t xml:space="preserve">Rounding policy consistent &amp; documented</t>
  </si>
  <si>
    <t xml:space="preserve">P6-TX-012</t>
  </si>
  <si>
    <t xml:space="preserve">Tax Report</t>
  </si>
  <si>
    <t xml:space="preserve">Invoices + PIs + CNs + VCNs posted</t>
  </si>
  <si>
    <t xml:space="preserve">1) Run VAT return</t>
  </si>
  <si>
    <t xml:space="preserve">Output VAT − Input VAT = Net payable; matches underlying GL</t>
  </si>
  <si>
    <t xml:space="preserve">P6-TXR-013</t>
  </si>
  <si>
    <t xml:space="preserve">Tax Reports</t>
  </si>
  <si>
    <t xml:space="preserve">1) Tax report totals vs sum of tax JE lines</t>
  </si>
  <si>
    <t xml:space="preserve">P6-TXR-014</t>
  </si>
  <si>
    <t xml:space="preserve">1) Tax report filtered by period</t>
  </si>
  <si>
    <t xml:space="preserve">Consistent across dates</t>
  </si>
  <si>
    <t xml:space="preserve">P6-TXR-015</t>
  </si>
  <si>
    <t xml:space="preserve">1) Export for tax authority filing</t>
  </si>
  <si>
    <t xml:space="preserve">Format matches ZATCA/local requirements (if documented)</t>
  </si>
  <si>
    <t xml:space="preserve">P6-CL-016</t>
  </si>
  <si>
    <t xml:space="preserve">Closing Checklist</t>
  </si>
  <si>
    <t xml:space="preserve">1) Open closing checklist for a period</t>
  </si>
  <si>
    <t xml:space="preserve">Tasks listed with status</t>
  </si>
  <si>
    <t xml:space="preserve">P6-CL-017</t>
  </si>
  <si>
    <t xml:space="preserve">1) Mark a blocker (unreconciled bank) unresolved</t>
  </si>
  <si>
    <t xml:space="preserve">Cannot close period</t>
  </si>
  <si>
    <t xml:space="preserve">P6-CL-018</t>
  </si>
  <si>
    <t xml:space="preserve">1) Assign tasks to users</t>
  </si>
  <si>
    <t xml:space="preserve">Notifications / task list populated</t>
  </si>
  <si>
    <t xml:space="preserve">P6-CL-019</t>
  </si>
  <si>
    <t xml:space="preserve">Completed task</t>
  </si>
  <si>
    <t xml:space="preserve">1) Next task unlocks (if dependent)</t>
  </si>
  <si>
    <t xml:space="preserve">Workflow progresses</t>
  </si>
  <si>
    <t xml:space="preserve">P6-CL-020</t>
  </si>
  <si>
    <t xml:space="preserve">Period Close</t>
  </si>
  <si>
    <t xml:space="preserve">All checks pass</t>
  </si>
  <si>
    <t xml:space="preserve">1) Close period</t>
  </si>
  <si>
    <t xml:space="preserve">Status=Closed; lock all posting</t>
  </si>
  <si>
    <t xml:space="preserve">P6-CL-021</t>
  </si>
  <si>
    <t xml:space="preserve">Open items (unbalanced TB)</t>
  </si>
  <si>
    <t xml:space="preserve">1) Try to close</t>
  </si>
  <si>
    <t xml:space="preserve">Blocked with clear reason</t>
  </si>
  <si>
    <t xml:space="preserve">P6-CL-022</t>
  </si>
  <si>
    <t xml:space="preserve">Unposted drafts</t>
  </si>
  <si>
    <t xml:space="preserve">Warning or block depending on policy</t>
  </si>
  <si>
    <t xml:space="preserve">P6-CL-023</t>
  </si>
  <si>
    <t xml:space="preserve">1) Try to post any document</t>
  </si>
  <si>
    <t xml:space="preserve">P6-CL-024</t>
  </si>
  <si>
    <t xml:space="preserve">Non-admin</t>
  </si>
  <si>
    <t xml:space="preserve">Blocked; audit log on successful reopens</t>
  </si>
  <si>
    <t xml:space="preserve">P6-CE-025</t>
  </si>
  <si>
    <t xml:space="preserve">Closing Entries</t>
  </si>
  <si>
    <t xml:space="preserve">Year-end</t>
  </si>
  <si>
    <t xml:space="preserve">1) Run year-end close</t>
  </si>
  <si>
    <t xml:space="preserve">Revenue+Expense accounts → 0; Net Income posted to Retained Earnings</t>
  </si>
  <si>
    <t xml:space="preserve">P6-CE-026</t>
  </si>
  <si>
    <t xml:space="preserve">Post-close</t>
  </si>
  <si>
    <t xml:space="preserve">1) TB after closing</t>
  </si>
  <si>
    <t xml:space="preserve">Only BS accounts non-zero; P&amp;L accounts zero</t>
  </si>
  <si>
    <t xml:space="preserve">P6-CE-027</t>
  </si>
  <si>
    <t xml:space="preserve">1) Depreciation/accruals/prepayments handled as pre-close adjustments</t>
  </si>
  <si>
    <t xml:space="preserve">Correct JE and reversal schedule</t>
  </si>
  <si>
    <t xml:space="preserve">P6-FS-028</t>
  </si>
  <si>
    <t xml:space="preserve">Balance Sheet</t>
  </si>
  <si>
    <t xml:space="preserve">1) Generate BS at period end</t>
  </si>
  <si>
    <t xml:space="preserve">Assets = Liabilities + Equity (± 0.01 rounding). Mismatch = FAIL Severity=Critical</t>
  </si>
  <si>
    <t xml:space="preserve">P6-FS-029</t>
  </si>
  <si>
    <t xml:space="preserve">Income Statement</t>
  </si>
  <si>
    <t xml:space="preserve">1) Generate P&amp;L for period</t>
  </si>
  <si>
    <t xml:space="preserve">Revenue − Expenses = Net Income; Net Income flows to RE on BS</t>
  </si>
  <si>
    <t xml:space="preserve">P6-FS-030</t>
  </si>
  <si>
    <t xml:space="preserve">Reports</t>
  </si>
  <si>
    <t xml:space="preserve">1) TB totals vs BS totals vs P&amp;L net income</t>
  </si>
  <si>
    <t xml:space="preserve">All tie out consistently</t>
  </si>
  <si>
    <t xml:space="preserve">Phase 7 — Smart Finance / AI / Audit</t>
  </si>
  <si>
    <t xml:space="preserve">Total cases: 25  |  Fill 'Status' (dropdown). 'Severity' applies only if Fail.</t>
  </si>
  <si>
    <t xml:space="preserve">P7-AN-001</t>
  </si>
  <si>
    <t xml:space="preserve">Anomaly</t>
  </si>
  <si>
    <t xml:space="preserve">Seed unusual data</t>
  </si>
  <si>
    <t xml:space="preserve">1) Post 10 round-amount invoices (5000, 10000...)
2) Wait for detection run</t>
  </si>
  <si>
    <t xml:space="preserve">System flags pattern; anomaly visible in dashboard</t>
  </si>
  <si>
    <t xml:space="preserve">P7-AN-002</t>
  </si>
  <si>
    <t xml:space="preserve">1) Post an invoice far above vendor's 90-day avg</t>
  </si>
  <si>
    <t xml:space="preserve">Anomaly detected and categorized</t>
  </si>
  <si>
    <t xml:space="preserve">P7-AN-003</t>
  </si>
  <si>
    <t xml:space="preserve">Anomaly flagged</t>
  </si>
  <si>
    <t xml:space="preserve">1) Drill-down from alert to underlying JE/invoice</t>
  </si>
  <si>
    <t xml:space="preserve">Link works; shows evidence</t>
  </si>
  <si>
    <t xml:space="preserve">P7-AN-004</t>
  </si>
  <si>
    <t xml:space="preserve">False-positive test</t>
  </si>
  <si>
    <t xml:space="preserve">1) Review a normal txn flagged as anomaly</t>
  </si>
  <si>
    <t xml:space="preserve">System provides reason; user can dismiss with note</t>
  </si>
  <si>
    <t xml:space="preserve">P7-DUP-005</t>
  </si>
  <si>
    <t xml:space="preserve">Duplicate</t>
  </si>
  <si>
    <t xml:space="preserve">Two identical PIs intentionally</t>
  </si>
  <si>
    <t xml:space="preserve">1) Create 2nd PI with same vendor, date, amount, ref</t>
  </si>
  <si>
    <t xml:space="preserve">Duplicate flagged before/after post</t>
  </si>
  <si>
    <t xml:space="preserve">P7-DUP-006</t>
  </si>
  <si>
    <t xml:space="preserve">1) Near-duplicate (same amount, different vendor ref #)</t>
  </si>
  <si>
    <t xml:space="preserve">Fuzzy match raises warning</t>
  </si>
  <si>
    <t xml:space="preserve">P7-DUP-007</t>
  </si>
  <si>
    <t xml:space="preserve">Flagged pair</t>
  </si>
  <si>
    <t xml:space="preserve">1) Dismiss or mark one as true duplicate</t>
  </si>
  <si>
    <t xml:space="preserve">Workflow handles both paths</t>
  </si>
  <si>
    <t xml:space="preserve">P7-RS-008</t>
  </si>
  <si>
    <t xml:space="preserve">Risk</t>
  </si>
  <si>
    <t xml:space="preserve">1) View risk score for vendor/customer</t>
  </si>
  <si>
    <t xml:space="preserve">Score 0–100 with breakdown factors visible</t>
  </si>
  <si>
    <t xml:space="preserve">P7-RS-009</t>
  </si>
  <si>
    <t xml:space="preserve">High-risk vendor</t>
  </si>
  <si>
    <t xml:space="preserve">1) Create PI for high-risk vendor</t>
  </si>
  <si>
    <t xml:space="preserve">Score contributes to review queue/alert</t>
  </si>
  <si>
    <t xml:space="preserve">P7-RS-010</t>
  </si>
  <si>
    <t xml:space="preserve">1) Score recomputes as new data arrives</t>
  </si>
  <si>
    <t xml:space="preserve">Reasonably timely</t>
  </si>
  <si>
    <t xml:space="preserve">P7-AC-011</t>
  </si>
  <si>
    <t xml:space="preserve">Alert exists</t>
  </si>
  <si>
    <t xml:space="preserve">1) Create case from alert
2) Assign
3) Investigate
4) Close with resolution</t>
  </si>
  <si>
    <t xml:space="preserve">Case workflow complete; trail preserved</t>
  </si>
  <si>
    <t xml:space="preserve">P7-AC-012</t>
  </si>
  <si>
    <t xml:space="preserve">1) Only authorized roles can close cases</t>
  </si>
  <si>
    <t xml:space="preserve">RBAC enforced</t>
  </si>
  <si>
    <t xml:space="preserve">P7-AC-013</t>
  </si>
  <si>
    <t xml:space="preserve">Case closed</t>
  </si>
  <si>
    <t xml:space="preserve">1) Reopen with reason</t>
  </si>
  <si>
    <t xml:space="preserve">Allowed with privilege; audit trail</t>
  </si>
  <si>
    <t xml:space="preserve">P7-AL-014</t>
  </si>
  <si>
    <t xml:space="preserve">Alerts</t>
  </si>
  <si>
    <t xml:space="preserve">1) Create alert rule (e.g., AP &gt; threshold)</t>
  </si>
  <si>
    <t xml:space="preserve">Rule active; evaluates on schedule/event</t>
  </si>
  <si>
    <t xml:space="preserve">P7-AL-015</t>
  </si>
  <si>
    <t xml:space="preserve">Rule set</t>
  </si>
  <si>
    <t xml:space="preserve">1) Trigger rule via data change</t>
  </si>
  <si>
    <t xml:space="preserve">Alert fires; visible in inbox/notifications</t>
  </si>
  <si>
    <t xml:space="preserve">P7-AL-016</t>
  </si>
  <si>
    <t xml:space="preserve">1) Alert notification delivered (email/in-app)</t>
  </si>
  <si>
    <t xml:space="preserve">Delivered reliably</t>
  </si>
  <si>
    <t xml:space="preserve">P7-DB-017</t>
  </si>
  <si>
    <t xml:space="preserve">Dashboard</t>
  </si>
  <si>
    <t xml:space="preserve">Data exists</t>
  </si>
  <si>
    <t xml:space="preserve">1) Executive dashboard: revenue, AR, AP, cash</t>
  </si>
  <si>
    <t xml:space="preserve">Numbers match underlying reports</t>
  </si>
  <si>
    <t xml:space="preserve">P7-DB-018</t>
  </si>
  <si>
    <t xml:space="preserve">1) Dashboard revenue YTD vs Income Statement revenue YTD</t>
  </si>
  <si>
    <t xml:space="preserve">P7-DB-019</t>
  </si>
  <si>
    <t xml:space="preserve">KPI card</t>
  </si>
  <si>
    <t xml:space="preserve">1) Click to drill-through</t>
  </si>
  <si>
    <t xml:space="preserve">Opens source report with matching data</t>
  </si>
  <si>
    <t xml:space="preserve">P7-DB-020</t>
  </si>
  <si>
    <t xml:space="preserve">Filters</t>
  </si>
  <si>
    <t xml:space="preserve">1) Apply period/branch filter</t>
  </si>
  <si>
    <t xml:space="preserve">All widgets update consistently</t>
  </si>
  <si>
    <t xml:space="preserve">P7-AI-021</t>
  </si>
  <si>
    <t xml:space="preserve">AI Assistant</t>
  </si>
  <si>
    <t xml:space="preserve">1) Ask assistant to create/modify JE</t>
  </si>
  <si>
    <t xml:space="preserve">Refused. AI must not mutate financial data.</t>
  </si>
  <si>
    <t xml:space="preserve">P7-AI-022</t>
  </si>
  <si>
    <t xml:space="preserve">1) Ask 'Top 5 customers by revenue YTD'</t>
  </si>
  <si>
    <t xml:space="preserve">Answer matches report; grounded in system data</t>
  </si>
  <si>
    <t xml:space="preserve">P7-AI-023</t>
  </si>
  <si>
    <t xml:space="preserve">Insights</t>
  </si>
  <si>
    <t xml:space="preserve">1) Narrative insight generated</t>
  </si>
  <si>
    <t xml:space="preserve">Each claim linked to a data point</t>
  </si>
  <si>
    <t xml:space="preserve">P7-AI-024</t>
  </si>
  <si>
    <t xml:space="preserve">1) Prompt injection in a document name/description</t>
  </si>
  <si>
    <t xml:space="preserve">Not executed as command; safe handling</t>
  </si>
  <si>
    <t xml:space="preserve">P7-EXP-025</t>
  </si>
  <si>
    <t xml:space="preserve">Explainability</t>
  </si>
  <si>
    <t xml:space="preserve">Any smart output</t>
  </si>
  <si>
    <t xml:space="preserve">1) Click 'Why this?'</t>
  </si>
  <si>
    <t xml:space="preserve">Shows rule/model + inputs used; auditable</t>
  </si>
  <si>
    <t xml:space="preserve">Cross-Cutting — UI/UX, API, Security, Reports, Integrity, Regression</t>
  </si>
  <si>
    <t xml:space="preserve">Total cases: 46  |  Fill 'Status' (dropdown). 'Severity' applies only if Fail.</t>
  </si>
  <si>
    <t xml:space="preserve">X-UI-001</t>
  </si>
  <si>
    <t xml:space="preserve">UI/UX</t>
  </si>
  <si>
    <t xml:space="preserve">1) Navigate all modules via sidebar</t>
  </si>
  <si>
    <t xml:space="preserve">Consistent layout, responsive, no dead links</t>
  </si>
  <si>
    <t xml:space="preserve">X-UI-002</t>
  </si>
  <si>
    <t xml:space="preserve">Arabic user</t>
  </si>
  <si>
    <t xml:space="preserve">1) Toggle to AR (if available)</t>
  </si>
  <si>
    <t xml:space="preserve">**Per F-005: not found on public pages.** Validate on authenticated pages. Full RTL reflow; no broken alignment</t>
  </si>
  <si>
    <t xml:space="preserve">X-UI-003</t>
  </si>
  <si>
    <t xml:space="preserve">1) Mobile/tablet viewport</t>
  </si>
  <si>
    <t xml:space="preserve">No overflow, readable, sidebar collapses</t>
  </si>
  <si>
    <t xml:space="preserve">X-UI-004</t>
  </si>
  <si>
    <t xml:space="preserve">1) Trigger validation errors in forms</t>
  </si>
  <si>
    <t xml:space="preserve">Messages clear, in the right language, indicate field</t>
  </si>
  <si>
    <t xml:space="preserve">X-UI-005</t>
  </si>
  <si>
    <t xml:space="preserve">1) Large lists (&gt;1000 rows)</t>
  </si>
  <si>
    <t xml:space="preserve">Pagination/virtualization; no freeze</t>
  </si>
  <si>
    <t xml:space="preserve">X-UI-006</t>
  </si>
  <si>
    <t xml:space="preserve">1) Empty states (no data)</t>
  </si>
  <si>
    <t xml:space="preserve">Friendly messaging with CTA</t>
  </si>
  <si>
    <t xml:space="preserve">X-UI-007</t>
  </si>
  <si>
    <t xml:space="preserve">1) Keyboard nav (Tab, Enter, Esc)</t>
  </si>
  <si>
    <t xml:space="preserve">All primary flows keyboard accessible</t>
  </si>
  <si>
    <t xml:space="preserve">X-UI-008</t>
  </si>
  <si>
    <t xml:space="preserve">P3</t>
  </si>
  <si>
    <t xml:space="preserve">1) Browser matrix: Chrome, Edge, Safari, Firefox</t>
  </si>
  <si>
    <t xml:space="preserve">All work identically</t>
  </si>
  <si>
    <t xml:space="preserve">X-API-001</t>
  </si>
  <si>
    <t xml:space="preserve">API</t>
  </si>
  <si>
    <t xml:space="preserve">Unauthenticated</t>
  </si>
  <si>
    <t xml:space="preserve">1) Call any protected endpoint</t>
  </si>
  <si>
    <t xml:space="preserve">401 returned; no data leak</t>
  </si>
  <si>
    <t xml:space="preserve">X-API-002</t>
  </si>
  <si>
    <t xml:space="preserve">Authenticated but not authorized</t>
  </si>
  <si>
    <t xml:space="preserve">1) Call forbidden endpoint</t>
  </si>
  <si>
    <t xml:space="preserve">403</t>
  </si>
  <si>
    <t xml:space="preserve">X-API-003</t>
  </si>
  <si>
    <t xml:space="preserve">1) Call non-existent resource</t>
  </si>
  <si>
    <t xml:space="preserve">404 (not 500)</t>
  </si>
  <si>
    <t xml:space="preserve">X-API-004</t>
  </si>
  <si>
    <t xml:space="preserve">1) Submit invalid JSON/fields</t>
  </si>
  <si>
    <t xml:space="preserve">400/422 with descriptive error</t>
  </si>
  <si>
    <t xml:space="preserve">X-API-005</t>
  </si>
  <si>
    <t xml:space="preserve">1) Inspect 500 errors across key flows</t>
  </si>
  <si>
    <t xml:space="preserve">None in happy path; unhandled exceptions indicate bug</t>
  </si>
  <si>
    <t xml:space="preserve">X-API-006</t>
  </si>
  <si>
    <t xml:space="preserve">Authenticated user</t>
  </si>
  <si>
    <t xml:space="preserve">1) Perform state-changing POST without CSRF token</t>
  </si>
  <si>
    <t xml:space="preserve">X-API-007</t>
  </si>
  <si>
    <t xml:space="preserve">1) Hit login 20× with bad creds</t>
  </si>
  <si>
    <t xml:space="preserve">Rate-limited / lockout per policy</t>
  </si>
  <si>
    <t xml:space="preserve">X-API-008</t>
  </si>
  <si>
    <t xml:space="preserve">1) Measure P95 latency of key endpoints</t>
  </si>
  <si>
    <t xml:space="preserve">&lt;500ms for standard queries (guideline)</t>
  </si>
  <si>
    <t xml:space="preserve">X-SEC-001</t>
  </si>
  <si>
    <t xml:space="preserve">1) Attempt SQL injection in search fields (e.g., ') OR 1=1 --)</t>
  </si>
  <si>
    <t xml:space="preserve">No effect; parameterized queries</t>
  </si>
  <si>
    <t xml:space="preserve">X-SEC-002</t>
  </si>
  <si>
    <t xml:space="preserve">1) Stored XSS: set customer name to &lt;script&gt;alert(1)&lt;/script&gt;
2) View customer elsewhere</t>
  </si>
  <si>
    <t xml:space="preserve">Escaped; no script execution</t>
  </si>
  <si>
    <t xml:space="preserve">X-SEC-003</t>
  </si>
  <si>
    <t xml:space="preserve">1) Reflected XSS in URL params</t>
  </si>
  <si>
    <t xml:space="preserve">Escaped</t>
  </si>
  <si>
    <t xml:space="preserve">X-SEC-004</t>
  </si>
  <si>
    <t xml:space="preserve">User in Co A</t>
  </si>
  <si>
    <t xml:space="preserve">1) IDOR: modify URL /invoices/&lt;id_of_B&gt;</t>
  </si>
  <si>
    <t xml:space="preserve">403/404; cross-tenant isolation</t>
  </si>
  <si>
    <t xml:space="preserve">X-SEC-005</t>
  </si>
  <si>
    <t xml:space="preserve">1) Force-browse /admin/, /api/admin/</t>
  </si>
  <si>
    <t xml:space="preserve">X-SEC-006</t>
  </si>
  <si>
    <t xml:space="preserve">1) Session fixation: use same session ID pre/post login</t>
  </si>
  <si>
    <t xml:space="preserve">Session ID rotates on login</t>
  </si>
  <si>
    <t xml:space="preserve">X-SEC-007</t>
  </si>
  <si>
    <t xml:space="preserve">Ref: F-002</t>
  </si>
  <si>
    <t xml:space="preserve">1) Register with weak passwords (e.g., 12345678, password)</t>
  </si>
  <si>
    <t xml:space="preserve">All weak passwords must be REJECTED. Anything accepted = FAIL Severity=Critical</t>
  </si>
  <si>
    <t xml:space="preserve">X-SEC-008</t>
  </si>
  <si>
    <t xml:space="preserve">1) Repeated failed logins</t>
  </si>
  <si>
    <t xml:space="preserve">Lockout / captcha after threshold</t>
  </si>
  <si>
    <t xml:space="preserve">X-SEC-009</t>
  </si>
  <si>
    <t xml:space="preserve">Ref: F-003</t>
  </si>
  <si>
    <t xml:space="preserve">1) Check if MFA/2FA is supported and enforceable</t>
  </si>
  <si>
    <t xml:space="preserve">For a financial system MFA support is expected. Missing = Risk Critical</t>
  </si>
  <si>
    <t xml:space="preserve">X-SEC-010</t>
  </si>
  <si>
    <t xml:space="preserve">1) Logout; Back button; attempt protected action</t>
  </si>
  <si>
    <t xml:space="preserve">Session fully destroyed</t>
  </si>
  <si>
    <t xml:space="preserve">X-SEC-011</t>
  </si>
  <si>
    <t xml:space="preserve">1) Confirm HTTPS on all pages + HSTS</t>
  </si>
  <si>
    <t xml:space="preserve">Enforced; no mixed content</t>
  </si>
  <si>
    <t xml:space="preserve">X-SEC-012</t>
  </si>
  <si>
    <t xml:space="preserve">1) Try file upload with path traversal / server-exec extension</t>
  </si>
  <si>
    <t xml:space="preserve">Uploads validated; sandboxed</t>
  </si>
  <si>
    <t xml:space="preserve">X-RPT-001</t>
  </si>
  <si>
    <t xml:space="preserve">Reports Consistency</t>
  </si>
  <si>
    <t xml:space="preserve">Posted txns</t>
  </si>
  <si>
    <t xml:space="preserve">1) Sum AR customer balances vs AR on BS</t>
  </si>
  <si>
    <t xml:space="preserve">Match. Mismatch = FAIL Severity=Critical</t>
  </si>
  <si>
    <t xml:space="preserve">X-RPT-002</t>
  </si>
  <si>
    <t xml:space="preserve">1) Sum AP vendor balances vs AP on BS</t>
  </si>
  <si>
    <t xml:space="preserve">X-RPT-003</t>
  </si>
  <si>
    <t xml:space="preserve">1) Cash &amp; bank GL balances vs Treasury Reports</t>
  </si>
  <si>
    <t xml:space="preserve">Match</t>
  </si>
  <si>
    <t xml:space="preserve">X-RPT-004</t>
  </si>
  <si>
    <t xml:space="preserve">1) Inventory GL vs Inventory Valuation Report</t>
  </si>
  <si>
    <t xml:space="preserve">X-RPT-005</t>
  </si>
  <si>
    <t xml:space="preserve">1) Tax GL vs VAT Return</t>
  </si>
  <si>
    <t xml:space="preserve">X-RPT-006</t>
  </si>
  <si>
    <t xml:space="preserve">1) Dashboard revenue/expenses vs P&amp;L</t>
  </si>
  <si>
    <t xml:space="preserve">X-RPT-007</t>
  </si>
  <si>
    <t xml:space="preserve">1) Branch-filter the same report twice → same totals</t>
  </si>
  <si>
    <t xml:space="preserve">Deterministic</t>
  </si>
  <si>
    <t xml:space="preserve">X-RPT-008</t>
  </si>
  <si>
    <t xml:space="preserve">1) Date filter boundary (e.g., FY end date inclusive)</t>
  </si>
  <si>
    <t xml:space="preserve">Boundaries documented and consistent</t>
  </si>
  <si>
    <t xml:space="preserve">X-DI-001</t>
  </si>
  <si>
    <t xml:space="preserve">Data Integrity</t>
  </si>
  <si>
    <t xml:space="preserve">1) Scan for orphan JE lines (line without header)</t>
  </si>
  <si>
    <t xml:space="preserve">None</t>
  </si>
  <si>
    <t xml:space="preserve">X-DI-002</t>
  </si>
  <si>
    <t xml:space="preserve">1) Unique constraints enforced</t>
  </si>
  <si>
    <t xml:space="preserve">DB-level enforcement</t>
  </si>
  <si>
    <t xml:space="preserve">X-DI-003</t>
  </si>
  <si>
    <t xml:space="preserve">Soft-deleted records</t>
  </si>
  <si>
    <t xml:space="preserve">1) Verify they disappear from UI but preserved for audit</t>
  </si>
  <si>
    <t xml:space="preserve">Correct</t>
  </si>
  <si>
    <t xml:space="preserve">X-DI-004</t>
  </si>
  <si>
    <t xml:space="preserve">Two users editing</t>
  </si>
  <si>
    <t xml:space="preserve">1) Concurrent edit on same record</t>
  </si>
  <si>
    <t xml:space="preserve">Optimistic locking / last-writer wins with warning</t>
  </si>
  <si>
    <t xml:space="preserve">X-DI-005</t>
  </si>
  <si>
    <t xml:space="preserve">Cascade rules</t>
  </si>
  <si>
    <t xml:space="preserve">1) Delete/deactivate parent with children</t>
  </si>
  <si>
    <t xml:space="preserve">Policy enforced without orphaning</t>
  </si>
  <si>
    <t xml:space="preserve">X-DI-006</t>
  </si>
  <si>
    <t xml:space="preserve">1) Post identical JE twice accidentally (double-click)</t>
  </si>
  <si>
    <t xml:space="preserve">Idempotency / duplicate post prevention</t>
  </si>
  <si>
    <t xml:space="preserve">X-REG-001</t>
  </si>
  <si>
    <t xml:space="preserve">Regression</t>
  </si>
  <si>
    <t xml:space="preserve">E2E Sale → Cash</t>
  </si>
  <si>
    <t xml:space="preserve">1) Create Customer → Invoice → Receipt → Bank
2) Verify GL, AR, Aging, Cash, Dashboard, Tax</t>
  </si>
  <si>
    <t xml:space="preserve">All 6 reports consistent with the single transaction trail</t>
  </si>
  <si>
    <t xml:space="preserve">X-REG-002</t>
  </si>
  <si>
    <t xml:space="preserve">E2E Purchase → Payment</t>
  </si>
  <si>
    <t xml:space="preserve">1) Vendor → PI → Payment from Bank
2) Verify GL, AP, Aging, Cash, Dashboard, Tax</t>
  </si>
  <si>
    <t xml:space="preserve">Consistent</t>
  </si>
  <si>
    <t xml:space="preserve">X-REG-003</t>
  </si>
  <si>
    <t xml:space="preserve">E2E Inventory</t>
  </si>
  <si>
    <t xml:space="preserve">1) PI (receive stock) → Sale Invoice (issue stock) → verify COGS, Inventory, AR, Revenue</t>
  </si>
  <si>
    <t xml:space="preserve">Stock, GL, reports all consistent</t>
  </si>
  <si>
    <t xml:space="preserve">X-REG-004</t>
  </si>
  <si>
    <t xml:space="preserve">E2E Closing</t>
  </si>
  <si>
    <t xml:space="preserve">1) All of above, then close period, then verify reports don't change</t>
  </si>
  <si>
    <t xml:space="preserve">Closing preserves all historical figures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</si>
</sst>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03864"/>
        <bgColor rgb="FF1F4E78"/>
      </patternFill>
    </fill>
    <fill>
      <patternFill patternType="solid">
        <fgColor rgb="FFD9E1F2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1F4E78"/>
        <bgColor rgb="FF203864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6EFCE"/>
      </patternFill>
    </fill>
    <fill>
      <patternFill patternType="solid">
        <fgColor rgb="FFDE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DEEBF7"/>
        </patternFill>
      </fill>
    </dxf>
    <dxf>
      <fill>
        <patternFill patternType="solid">
          <fgColor rgb="FFDEEBF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699"/>
      <rgbColor rgb="FFC6E0B4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37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54" hidden="false" customHeight="true" outlineLevel="0" collapsed="false">
      <c r="A4" s="3" t="s">
        <v>2</v>
      </c>
      <c r="B4" s="4" t="s">
        <v>3</v>
      </c>
    </row>
    <row r="5" customFormat="false" ht="54" hidden="false" customHeight="true" outlineLevel="0" collapsed="false">
      <c r="A5" s="3" t="s">
        <v>4</v>
      </c>
      <c r="B5" s="4" t="s">
        <v>5</v>
      </c>
    </row>
    <row r="6" customFormat="false" ht="36" hidden="false" customHeight="true" outlineLevel="0" collapsed="false">
      <c r="A6" s="3" t="s">
        <v>6</v>
      </c>
      <c r="B6" s="4" t="s">
        <v>7</v>
      </c>
    </row>
    <row r="7" customFormat="false" ht="126" hidden="false" customHeight="true" outlineLevel="0" collapsed="false">
      <c r="A7" s="3" t="s">
        <v>8</v>
      </c>
      <c r="B7" s="4" t="s">
        <v>9</v>
      </c>
    </row>
    <row r="8" customFormat="false" ht="72" hidden="false" customHeight="true" outlineLevel="0" collapsed="false">
      <c r="A8" s="3" t="s">
        <v>10</v>
      </c>
      <c r="B8" s="4" t="s">
        <v>11</v>
      </c>
    </row>
    <row r="9" customFormat="false" ht="72" hidden="false" customHeight="true" outlineLevel="0" collapsed="false">
      <c r="A9" s="3" t="s">
        <v>12</v>
      </c>
      <c r="B9" s="4" t="s">
        <v>13</v>
      </c>
    </row>
    <row r="10" customFormat="false" ht="108" hidden="false" customHeight="true" outlineLevel="0" collapsed="false">
      <c r="A10" s="3" t="s">
        <v>14</v>
      </c>
      <c r="B10" s="4" t="s">
        <v>15</v>
      </c>
    </row>
    <row r="11" customFormat="false" ht="36" hidden="false" customHeight="true" outlineLevel="0" collapsed="false">
      <c r="A11" s="3" t="s">
        <v>16</v>
      </c>
      <c r="B11" s="4" t="s">
        <v>17</v>
      </c>
    </row>
    <row r="12" customFormat="false" ht="126" hidden="false" customHeight="true" outlineLevel="0" collapsed="false">
      <c r="A12" s="3" t="s">
        <v>18</v>
      </c>
      <c r="B12" s="4" t="s">
        <v>19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2"/>
  </cols>
  <sheetData>
    <row r="1" customFormat="false" ht="27.75" hidden="false" customHeight="true" outlineLevel="0" collapsed="false">
      <c r="A1" s="5" t="s">
        <v>20</v>
      </c>
      <c r="B1" s="5"/>
      <c r="C1" s="5"/>
      <c r="D1" s="5"/>
      <c r="E1" s="5"/>
      <c r="F1" s="5"/>
      <c r="G1" s="5"/>
      <c r="H1" s="5"/>
      <c r="I1" s="5"/>
    </row>
    <row r="3" customFormat="false" ht="33.75" hidden="false" customHeight="tru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5" hidden="false" customHeight="false" outlineLevel="0" collapsed="false">
      <c r="A4" s="7" t="s">
        <v>30</v>
      </c>
      <c r="B4" s="8" t="n">
        <f aca="false">COUNTA('Phase 1 Core Accounting'!A4:A63)</f>
        <v>60</v>
      </c>
      <c r="C4" s="8" t="n">
        <f aca="false">COUNTIF('Phase 1 Core Accounting'!J4:J63,"Not Run")</f>
        <v>60</v>
      </c>
      <c r="D4" s="8" t="n">
        <f aca="false">COUNTIF('Phase 1 Core Accounting'!J4:J63,"Pass")</f>
        <v>0</v>
      </c>
      <c r="E4" s="8" t="n">
        <f aca="false">COUNTIF('Phase 1 Core Accounting'!J4:J63,"Fail")</f>
        <v>0</v>
      </c>
      <c r="F4" s="8" t="n">
        <f aca="false">COUNTIF('Phase 1 Core Accounting'!J4:J63,"Blocked")</f>
        <v>0</v>
      </c>
      <c r="G4" s="8" t="n">
        <f aca="false">COUNTIF('Phase 1 Core Accounting'!J4:J63,"N/A")</f>
        <v>0</v>
      </c>
      <c r="H4" s="9" t="n">
        <f aca="false">IFERROR(D4/(B4-G4),0)</f>
        <v>0</v>
      </c>
      <c r="I4" s="8" t="n">
        <f aca="false">COUNTIFS('Phase 1 Core Accounting'!B4:B63,"P0",'Phase 1 Core Accounting'!J4:J63,"Fail")</f>
        <v>0</v>
      </c>
    </row>
    <row r="5" customFormat="false" ht="15" hidden="false" customHeight="false" outlineLevel="0" collapsed="false">
      <c r="A5" s="7" t="s">
        <v>31</v>
      </c>
      <c r="B5" s="8" t="n">
        <f aca="false">COUNTA('Phase 2 Sales &amp; AR'!A4:A48)</f>
        <v>45</v>
      </c>
      <c r="C5" s="8" t="n">
        <f aca="false">COUNTIF('Phase 2 Sales &amp; AR'!J4:J48,"Not Run")</f>
        <v>45</v>
      </c>
      <c r="D5" s="8" t="n">
        <f aca="false">COUNTIF('Phase 2 Sales &amp; AR'!J4:J48,"Pass")</f>
        <v>0</v>
      </c>
      <c r="E5" s="8" t="n">
        <f aca="false">COUNTIF('Phase 2 Sales &amp; AR'!J4:J48,"Fail")</f>
        <v>0</v>
      </c>
      <c r="F5" s="8" t="n">
        <f aca="false">COUNTIF('Phase 2 Sales &amp; AR'!J4:J48,"Blocked")</f>
        <v>0</v>
      </c>
      <c r="G5" s="8" t="n">
        <f aca="false">COUNTIF('Phase 2 Sales &amp; AR'!J4:J48,"N/A")</f>
        <v>0</v>
      </c>
      <c r="H5" s="9" t="n">
        <f aca="false">IFERROR(D5/(B5-G5),0)</f>
        <v>0</v>
      </c>
      <c r="I5" s="8" t="n">
        <f aca="false">COUNTIFS('Phase 2 Sales &amp; AR'!B4:B48,"P0",'Phase 2 Sales &amp; AR'!J4:J48,"Fail")</f>
        <v>0</v>
      </c>
    </row>
    <row r="6" customFormat="false" ht="15" hidden="false" customHeight="false" outlineLevel="0" collapsed="false">
      <c r="A6" s="7" t="s">
        <v>32</v>
      </c>
      <c r="B6" s="8" t="n">
        <f aca="false">COUNTA('Phase 3 Purchases &amp; AP'!A4:A43)</f>
        <v>40</v>
      </c>
      <c r="C6" s="8" t="n">
        <f aca="false">COUNTIF('Phase 3 Purchases &amp; AP'!J4:J43,"Not Run")</f>
        <v>40</v>
      </c>
      <c r="D6" s="8" t="n">
        <f aca="false">COUNTIF('Phase 3 Purchases &amp; AP'!J4:J43,"Pass")</f>
        <v>0</v>
      </c>
      <c r="E6" s="8" t="n">
        <f aca="false">COUNTIF('Phase 3 Purchases &amp; AP'!J4:J43,"Fail")</f>
        <v>0</v>
      </c>
      <c r="F6" s="8" t="n">
        <f aca="false">COUNTIF('Phase 3 Purchases &amp; AP'!J4:J43,"Blocked")</f>
        <v>0</v>
      </c>
      <c r="G6" s="8" t="n">
        <f aca="false">COUNTIF('Phase 3 Purchases &amp; AP'!J4:J43,"N/A")</f>
        <v>0</v>
      </c>
      <c r="H6" s="9" t="n">
        <f aca="false">IFERROR(D6/(B6-G6),0)</f>
        <v>0</v>
      </c>
      <c r="I6" s="8" t="n">
        <f aca="false">COUNTIFS('Phase 3 Purchases &amp; AP'!B4:B43,"P0",'Phase 3 Purchases &amp; AP'!J4:J43,"Fail")</f>
        <v>0</v>
      </c>
    </row>
    <row r="7" customFormat="false" ht="15" hidden="false" customHeight="false" outlineLevel="0" collapsed="false">
      <c r="A7" s="7" t="s">
        <v>33</v>
      </c>
      <c r="B7" s="8" t="n">
        <f aca="false">COUNTA('Phase 4 Treasury'!A4:A38)</f>
        <v>35</v>
      </c>
      <c r="C7" s="8" t="n">
        <f aca="false">COUNTIF('Phase 4 Treasury'!J4:J38,"Not Run")</f>
        <v>35</v>
      </c>
      <c r="D7" s="8" t="n">
        <f aca="false">COUNTIF('Phase 4 Treasury'!J4:J38,"Pass")</f>
        <v>0</v>
      </c>
      <c r="E7" s="8" t="n">
        <f aca="false">COUNTIF('Phase 4 Treasury'!J4:J38,"Fail")</f>
        <v>0</v>
      </c>
      <c r="F7" s="8" t="n">
        <f aca="false">COUNTIF('Phase 4 Treasury'!J4:J38,"Blocked")</f>
        <v>0</v>
      </c>
      <c r="G7" s="8" t="n">
        <f aca="false">COUNTIF('Phase 4 Treasury'!J4:J38,"N/A")</f>
        <v>0</v>
      </c>
      <c r="H7" s="9" t="n">
        <f aca="false">IFERROR(D7/(B7-G7),0)</f>
        <v>0</v>
      </c>
      <c r="I7" s="8" t="n">
        <f aca="false">COUNTIFS('Phase 4 Treasury'!B4:B38,"P0",'Phase 4 Treasury'!J4:J38,"Fail")</f>
        <v>0</v>
      </c>
    </row>
    <row r="8" customFormat="false" ht="15" hidden="false" customHeight="false" outlineLevel="0" collapsed="false">
      <c r="A8" s="7" t="s">
        <v>34</v>
      </c>
      <c r="B8" s="8" t="n">
        <f aca="false">COUNTA('Phase 5 Inventory'!A4:A43)</f>
        <v>40</v>
      </c>
      <c r="C8" s="8" t="n">
        <f aca="false">COUNTIF('Phase 5 Inventory'!J4:J43,"Not Run")</f>
        <v>40</v>
      </c>
      <c r="D8" s="8" t="n">
        <f aca="false">COUNTIF('Phase 5 Inventory'!J4:J43,"Pass")</f>
        <v>0</v>
      </c>
      <c r="E8" s="8" t="n">
        <f aca="false">COUNTIF('Phase 5 Inventory'!J4:J43,"Fail")</f>
        <v>0</v>
      </c>
      <c r="F8" s="8" t="n">
        <f aca="false">COUNTIF('Phase 5 Inventory'!J4:J43,"Blocked")</f>
        <v>0</v>
      </c>
      <c r="G8" s="8" t="n">
        <f aca="false">COUNTIF('Phase 5 Inventory'!J4:J43,"N/A")</f>
        <v>0</v>
      </c>
      <c r="H8" s="9" t="n">
        <f aca="false">IFERROR(D8/(B8-G8),0)</f>
        <v>0</v>
      </c>
      <c r="I8" s="8" t="n">
        <f aca="false">COUNTIFS('Phase 5 Inventory'!B4:B43,"P0",'Phase 5 Inventory'!J4:J43,"Fail")</f>
        <v>0</v>
      </c>
    </row>
    <row r="9" customFormat="false" ht="15" hidden="false" customHeight="false" outlineLevel="0" collapsed="false">
      <c r="A9" s="7" t="s">
        <v>35</v>
      </c>
      <c r="B9" s="8" t="n">
        <f aca="false">COUNTA('Phase 6 Tax &amp; Closing'!A4:A33)</f>
        <v>30</v>
      </c>
      <c r="C9" s="8" t="n">
        <f aca="false">COUNTIF('Phase 6 Tax &amp; Closing'!J4:J33,"Not Run")</f>
        <v>30</v>
      </c>
      <c r="D9" s="8" t="n">
        <f aca="false">COUNTIF('Phase 6 Tax &amp; Closing'!J4:J33,"Pass")</f>
        <v>0</v>
      </c>
      <c r="E9" s="8" t="n">
        <f aca="false">COUNTIF('Phase 6 Tax &amp; Closing'!J4:J33,"Fail")</f>
        <v>0</v>
      </c>
      <c r="F9" s="8" t="n">
        <f aca="false">COUNTIF('Phase 6 Tax &amp; Closing'!J4:J33,"Blocked")</f>
        <v>0</v>
      </c>
      <c r="G9" s="8" t="n">
        <f aca="false">COUNTIF('Phase 6 Tax &amp; Closing'!J4:J33,"N/A")</f>
        <v>0</v>
      </c>
      <c r="H9" s="9" t="n">
        <f aca="false">IFERROR(D9/(B9-G9),0)</f>
        <v>0</v>
      </c>
      <c r="I9" s="8" t="n">
        <f aca="false">COUNTIFS('Phase 6 Tax &amp; Closing'!B4:B33,"P0",'Phase 6 Tax &amp; Closing'!J4:J33,"Fail")</f>
        <v>0</v>
      </c>
    </row>
    <row r="10" customFormat="false" ht="15" hidden="false" customHeight="false" outlineLevel="0" collapsed="false">
      <c r="A10" s="7" t="s">
        <v>36</v>
      </c>
      <c r="B10" s="8" t="n">
        <f aca="false">COUNTA('Phase 7 Smart Finance'!A4:A28)</f>
        <v>25</v>
      </c>
      <c r="C10" s="8" t="n">
        <f aca="false">COUNTIF('Phase 7 Smart Finance'!J4:J28,"Not Run")</f>
        <v>25</v>
      </c>
      <c r="D10" s="8" t="n">
        <f aca="false">COUNTIF('Phase 7 Smart Finance'!J4:J28,"Pass")</f>
        <v>0</v>
      </c>
      <c r="E10" s="8" t="n">
        <f aca="false">COUNTIF('Phase 7 Smart Finance'!J4:J28,"Fail")</f>
        <v>0</v>
      </c>
      <c r="F10" s="8" t="n">
        <f aca="false">COUNTIF('Phase 7 Smart Finance'!J4:J28,"Blocked")</f>
        <v>0</v>
      </c>
      <c r="G10" s="8" t="n">
        <f aca="false">COUNTIF('Phase 7 Smart Finance'!J4:J28,"N/A")</f>
        <v>0</v>
      </c>
      <c r="H10" s="9" t="n">
        <f aca="false">IFERROR(D10/(B10-G10),0)</f>
        <v>0</v>
      </c>
      <c r="I10" s="8" t="n">
        <f aca="false">COUNTIFS('Phase 7 Smart Finance'!B4:B28,"P0",'Phase 7 Smart Finance'!J4:J28,"Fail")</f>
        <v>0</v>
      </c>
    </row>
    <row r="11" customFormat="false" ht="15" hidden="false" customHeight="false" outlineLevel="0" collapsed="false">
      <c r="A11" s="7" t="s">
        <v>37</v>
      </c>
      <c r="B11" s="8" t="n">
        <f aca="false">COUNTA('X-Cutting UI API Sec'!A4:A49)</f>
        <v>46</v>
      </c>
      <c r="C11" s="8" t="n">
        <f aca="false">COUNTIF('X-Cutting UI API Sec'!J4:J49,"Not Run")</f>
        <v>46</v>
      </c>
      <c r="D11" s="8" t="n">
        <f aca="false">COUNTIF('X-Cutting UI API Sec'!J4:J49,"Pass")</f>
        <v>0</v>
      </c>
      <c r="E11" s="8" t="n">
        <f aca="false">COUNTIF('X-Cutting UI API Sec'!J4:J49,"Fail")</f>
        <v>0</v>
      </c>
      <c r="F11" s="8" t="n">
        <f aca="false">COUNTIF('X-Cutting UI API Sec'!J4:J49,"Blocked")</f>
        <v>0</v>
      </c>
      <c r="G11" s="8" t="n">
        <f aca="false">COUNTIF('X-Cutting UI API Sec'!J4:J49,"N/A")</f>
        <v>0</v>
      </c>
      <c r="H11" s="9" t="n">
        <f aca="false">IFERROR(D11/(B11-G11),0)</f>
        <v>0</v>
      </c>
      <c r="I11" s="8" t="n">
        <f aca="false">COUNTIFS('X-Cutting UI API Sec'!B4:B49,"P0",'X-Cutting UI API Sec'!J4:J49,"Fail")</f>
        <v>0</v>
      </c>
    </row>
    <row r="12" customFormat="false" ht="15" hidden="false" customHeight="false" outlineLevel="0" collapsed="false">
      <c r="A12" s="10" t="s">
        <v>38</v>
      </c>
      <c r="B12" s="10" t="n">
        <f aca="false">SUM(B4:B11)</f>
        <v>321</v>
      </c>
      <c r="C12" s="10" t="n">
        <f aca="false">SUM(C4:C11)</f>
        <v>321</v>
      </c>
      <c r="D12" s="10" t="n">
        <f aca="false">SUM(D4:D11)</f>
        <v>0</v>
      </c>
      <c r="E12" s="10" t="n">
        <f aca="false">SUM(E4:E11)</f>
        <v>0</v>
      </c>
      <c r="F12" s="10" t="n">
        <f aca="false">SUM(F4:F11)</f>
        <v>0</v>
      </c>
      <c r="G12" s="10" t="n">
        <f aca="false">SUM(G4:G11)</f>
        <v>0</v>
      </c>
      <c r="H12" s="11" t="n">
        <f aca="false">IFERROR(D12/(B12-G12),0)</f>
        <v>0</v>
      </c>
      <c r="I12" s="10" t="n">
        <f aca="false">SUM(I4:I11)</f>
        <v>0</v>
      </c>
    </row>
    <row r="15" customFormat="false" ht="15" hidden="false" customHeight="false" outlineLevel="0" collapsed="false">
      <c r="A15" s="12" t="s">
        <v>39</v>
      </c>
    </row>
    <row r="16" customFormat="false" ht="15" hidden="false" customHeight="false" outlineLevel="0" collapsed="false">
      <c r="A16" s="13" t="s">
        <v>40</v>
      </c>
    </row>
    <row r="17" customFormat="false" ht="15" hidden="false" customHeight="false" outlineLevel="0" collapsed="false">
      <c r="A17" s="13" t="s">
        <v>41</v>
      </c>
    </row>
    <row r="18" customFormat="false" ht="15" hidden="false" customHeight="false" outlineLevel="0" collapsed="false">
      <c r="A18" s="13" t="s">
        <v>42</v>
      </c>
    </row>
    <row r="19" customFormat="false" ht="15" hidden="false" customHeight="false" outlineLevel="0" collapsed="false">
      <c r="A19" s="13" t="s">
        <v>43</v>
      </c>
    </row>
    <row r="20" customFormat="false" ht="15" hidden="false" customHeight="false" outlineLevel="0" collapsed="false">
      <c r="A20" s="13" t="s">
        <v>44</v>
      </c>
    </row>
    <row r="21" customFormat="false" ht="15" hidden="false" customHeight="false" outlineLevel="0" collapsed="false">
      <c r="A21" s="13" t="s">
        <v>45</v>
      </c>
    </row>
    <row r="22" customFormat="false" ht="15" hidden="false" customHeight="false" outlineLevel="0" collapsed="false">
      <c r="A22" s="13" t="s">
        <v>46</v>
      </c>
    </row>
    <row r="25" customFormat="false" ht="15" hidden="false" customHeight="false" outlineLevel="0" collapsed="false">
      <c r="A25" s="12" t="s">
        <v>47</v>
      </c>
      <c r="B25" s="14"/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B25" type="list">
      <formula1>"PASS,PASS WITH WARNINGS,FAIL,PENDING"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49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46.25" hidden="false" customHeight="false" outlineLevel="0" collapsed="false">
      <c r="A4" s="16" t="s">
        <v>65</v>
      </c>
      <c r="B4" s="17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/>
      <c r="J4" s="4" t="s">
        <v>23</v>
      </c>
      <c r="K4" s="4"/>
      <c r="L4" s="4"/>
      <c r="M4" s="4"/>
      <c r="N4" s="4"/>
      <c r="O4" s="4"/>
    </row>
    <row r="5" customFormat="false" ht="35.05" hidden="false" customHeight="false" outlineLevel="0" collapsed="false">
      <c r="A5" s="16" t="s">
        <v>73</v>
      </c>
      <c r="B5" s="18" t="s">
        <v>74</v>
      </c>
      <c r="C5" s="4" t="s">
        <v>75</v>
      </c>
      <c r="D5" s="4" t="s">
        <v>68</v>
      </c>
      <c r="E5" s="4" t="s">
        <v>76</v>
      </c>
      <c r="F5" s="4" t="s">
        <v>77</v>
      </c>
      <c r="G5" s="4" t="s">
        <v>78</v>
      </c>
      <c r="H5" s="4" t="s">
        <v>79</v>
      </c>
      <c r="I5" s="4"/>
      <c r="J5" s="4" t="s">
        <v>23</v>
      </c>
      <c r="K5" s="4"/>
      <c r="L5" s="4"/>
      <c r="M5" s="4"/>
      <c r="N5" s="4"/>
      <c r="O5" s="4"/>
    </row>
    <row r="6" customFormat="false" ht="23.85" hidden="false" customHeight="false" outlineLevel="0" collapsed="false">
      <c r="A6" s="16" t="s">
        <v>80</v>
      </c>
      <c r="B6" s="18" t="s">
        <v>74</v>
      </c>
      <c r="C6" s="4" t="s">
        <v>75</v>
      </c>
      <c r="D6" s="4" t="s">
        <v>68</v>
      </c>
      <c r="E6" s="4" t="s">
        <v>81</v>
      </c>
      <c r="F6" s="4" t="s">
        <v>82</v>
      </c>
      <c r="G6" s="4" t="s">
        <v>83</v>
      </c>
      <c r="H6" s="4" t="s">
        <v>84</v>
      </c>
      <c r="I6" s="4"/>
      <c r="J6" s="4" t="s">
        <v>23</v>
      </c>
      <c r="K6" s="4"/>
      <c r="L6" s="4"/>
      <c r="M6" s="4"/>
      <c r="N6" s="4"/>
      <c r="O6" s="4"/>
    </row>
    <row r="7" customFormat="false" ht="35.05" hidden="false" customHeight="false" outlineLevel="0" collapsed="false">
      <c r="A7" s="16" t="s">
        <v>85</v>
      </c>
      <c r="B7" s="19" t="s">
        <v>86</v>
      </c>
      <c r="C7" s="4" t="s">
        <v>67</v>
      </c>
      <c r="D7" s="4" t="s">
        <v>68</v>
      </c>
      <c r="E7" s="4" t="s">
        <v>87</v>
      </c>
      <c r="F7" s="4" t="s">
        <v>88</v>
      </c>
      <c r="G7" s="4" t="s">
        <v>89</v>
      </c>
      <c r="H7" s="4" t="s">
        <v>90</v>
      </c>
      <c r="I7" s="4"/>
      <c r="J7" s="4" t="s">
        <v>23</v>
      </c>
      <c r="K7" s="4"/>
      <c r="L7" s="4"/>
      <c r="M7" s="4"/>
      <c r="N7" s="4"/>
      <c r="O7" s="4"/>
    </row>
    <row r="8" customFormat="false" ht="35.05" hidden="false" customHeight="false" outlineLevel="0" collapsed="false">
      <c r="A8" s="16" t="s">
        <v>91</v>
      </c>
      <c r="B8" s="18" t="s">
        <v>74</v>
      </c>
      <c r="C8" s="4" t="s">
        <v>92</v>
      </c>
      <c r="D8" s="4" t="s">
        <v>68</v>
      </c>
      <c r="E8" s="4" t="s">
        <v>93</v>
      </c>
      <c r="F8" s="4" t="s">
        <v>94</v>
      </c>
      <c r="G8" s="4" t="s">
        <v>95</v>
      </c>
      <c r="H8" s="4" t="s">
        <v>96</v>
      </c>
      <c r="I8" s="4"/>
      <c r="J8" s="4" t="s">
        <v>23</v>
      </c>
      <c r="K8" s="4"/>
      <c r="L8" s="4"/>
      <c r="M8" s="4"/>
      <c r="N8" s="4"/>
      <c r="O8" s="4"/>
    </row>
    <row r="9" customFormat="false" ht="35.05" hidden="false" customHeight="false" outlineLevel="0" collapsed="false">
      <c r="A9" s="16" t="s">
        <v>97</v>
      </c>
      <c r="B9" s="18" t="s">
        <v>74</v>
      </c>
      <c r="C9" s="4" t="s">
        <v>67</v>
      </c>
      <c r="D9" s="4" t="s">
        <v>98</v>
      </c>
      <c r="E9" s="4" t="s">
        <v>87</v>
      </c>
      <c r="F9" s="4" t="s">
        <v>99</v>
      </c>
      <c r="G9" s="4" t="s">
        <v>100</v>
      </c>
      <c r="H9" s="4" t="s">
        <v>101</v>
      </c>
      <c r="I9" s="4"/>
      <c r="J9" s="4" t="s">
        <v>23</v>
      </c>
      <c r="K9" s="4"/>
      <c r="L9" s="4"/>
      <c r="M9" s="4"/>
      <c r="N9" s="4"/>
      <c r="O9" s="4"/>
    </row>
    <row r="10" customFormat="false" ht="23.85" hidden="false" customHeight="false" outlineLevel="0" collapsed="false">
      <c r="A10" s="16" t="s">
        <v>102</v>
      </c>
      <c r="B10" s="18" t="s">
        <v>74</v>
      </c>
      <c r="C10" s="4" t="s">
        <v>75</v>
      </c>
      <c r="D10" s="4" t="s">
        <v>98</v>
      </c>
      <c r="E10" s="4" t="s">
        <v>103</v>
      </c>
      <c r="F10" s="4" t="s">
        <v>104</v>
      </c>
      <c r="G10" s="4" t="s">
        <v>105</v>
      </c>
      <c r="H10" s="4" t="s">
        <v>106</v>
      </c>
      <c r="I10" s="4"/>
      <c r="J10" s="4" t="s">
        <v>23</v>
      </c>
      <c r="K10" s="4"/>
      <c r="L10" s="4"/>
      <c r="M10" s="4"/>
      <c r="N10" s="4"/>
      <c r="O10" s="4"/>
    </row>
    <row r="11" customFormat="false" ht="23.85" hidden="false" customHeight="false" outlineLevel="0" collapsed="false">
      <c r="A11" s="16" t="s">
        <v>107</v>
      </c>
      <c r="B11" s="19" t="s">
        <v>86</v>
      </c>
      <c r="C11" s="4" t="s">
        <v>75</v>
      </c>
      <c r="D11" s="4" t="s">
        <v>98</v>
      </c>
      <c r="E11" s="4" t="s">
        <v>108</v>
      </c>
      <c r="F11" s="4" t="s">
        <v>109</v>
      </c>
      <c r="G11" s="4" t="s">
        <v>110</v>
      </c>
      <c r="H11" s="4" t="s">
        <v>111</v>
      </c>
      <c r="I11" s="4"/>
      <c r="J11" s="4" t="s">
        <v>23</v>
      </c>
      <c r="K11" s="4"/>
      <c r="L11" s="4"/>
      <c r="M11" s="4"/>
      <c r="N11" s="4"/>
      <c r="O11" s="4"/>
    </row>
    <row r="12" customFormat="false" ht="23.85" hidden="false" customHeight="false" outlineLevel="0" collapsed="false">
      <c r="A12" s="16" t="s">
        <v>112</v>
      </c>
      <c r="B12" s="18" t="s">
        <v>74</v>
      </c>
      <c r="C12" s="4" t="s">
        <v>113</v>
      </c>
      <c r="D12" s="4" t="s">
        <v>98</v>
      </c>
      <c r="E12" s="4" t="s">
        <v>114</v>
      </c>
      <c r="F12" s="4" t="s">
        <v>115</v>
      </c>
      <c r="G12" s="4" t="s">
        <v>110</v>
      </c>
      <c r="H12" s="4" t="s">
        <v>116</v>
      </c>
      <c r="I12" s="4"/>
      <c r="J12" s="4" t="s">
        <v>23</v>
      </c>
      <c r="K12" s="4"/>
      <c r="L12" s="4"/>
      <c r="M12" s="4"/>
      <c r="N12" s="4"/>
      <c r="O12" s="4"/>
    </row>
    <row r="13" customFormat="false" ht="23.85" hidden="false" customHeight="false" outlineLevel="0" collapsed="false">
      <c r="A13" s="16" t="s">
        <v>117</v>
      </c>
      <c r="B13" s="19" t="s">
        <v>86</v>
      </c>
      <c r="C13" s="4" t="s">
        <v>67</v>
      </c>
      <c r="D13" s="4" t="s">
        <v>98</v>
      </c>
      <c r="E13" s="4" t="s">
        <v>118</v>
      </c>
      <c r="F13" s="4" t="s">
        <v>119</v>
      </c>
      <c r="G13" s="4" t="s">
        <v>110</v>
      </c>
      <c r="H13" s="4" t="s">
        <v>120</v>
      </c>
      <c r="I13" s="4"/>
      <c r="J13" s="4" t="s">
        <v>23</v>
      </c>
      <c r="K13" s="4"/>
      <c r="L13" s="4"/>
      <c r="M13" s="4"/>
      <c r="N13" s="4"/>
      <c r="O13" s="4"/>
    </row>
    <row r="14" customFormat="false" ht="35.05" hidden="false" customHeight="false" outlineLevel="0" collapsed="false">
      <c r="A14" s="16" t="s">
        <v>121</v>
      </c>
      <c r="B14" s="18" t="s">
        <v>74</v>
      </c>
      <c r="C14" s="4" t="s">
        <v>67</v>
      </c>
      <c r="D14" s="4" t="s">
        <v>122</v>
      </c>
      <c r="E14" s="4" t="s">
        <v>76</v>
      </c>
      <c r="F14" s="4" t="s">
        <v>123</v>
      </c>
      <c r="G14" s="4" t="s">
        <v>124</v>
      </c>
      <c r="H14" s="4" t="s">
        <v>125</v>
      </c>
      <c r="I14" s="4"/>
      <c r="J14" s="4" t="s">
        <v>23</v>
      </c>
      <c r="K14" s="4"/>
      <c r="L14" s="4"/>
      <c r="M14" s="4"/>
      <c r="N14" s="4"/>
      <c r="O14" s="4"/>
    </row>
    <row r="15" customFormat="false" ht="15" hidden="false" customHeight="false" outlineLevel="0" collapsed="false">
      <c r="A15" s="16" t="s">
        <v>126</v>
      </c>
      <c r="B15" s="18" t="s">
        <v>74</v>
      </c>
      <c r="C15" s="4" t="s">
        <v>75</v>
      </c>
      <c r="D15" s="4" t="s">
        <v>122</v>
      </c>
      <c r="E15" s="4" t="s">
        <v>127</v>
      </c>
      <c r="F15" s="4" t="s">
        <v>128</v>
      </c>
      <c r="G15" s="4" t="s">
        <v>129</v>
      </c>
      <c r="H15" s="4" t="s">
        <v>130</v>
      </c>
      <c r="I15" s="4"/>
      <c r="J15" s="4" t="s">
        <v>23</v>
      </c>
      <c r="K15" s="4"/>
      <c r="L15" s="4"/>
      <c r="M15" s="4"/>
      <c r="N15" s="4"/>
      <c r="O15" s="4"/>
    </row>
    <row r="16" customFormat="false" ht="35.05" hidden="false" customHeight="false" outlineLevel="0" collapsed="false">
      <c r="A16" s="16" t="s">
        <v>131</v>
      </c>
      <c r="B16" s="17" t="s">
        <v>66</v>
      </c>
      <c r="C16" s="4" t="s">
        <v>92</v>
      </c>
      <c r="D16" s="4" t="s">
        <v>122</v>
      </c>
      <c r="E16" s="4" t="s">
        <v>132</v>
      </c>
      <c r="F16" s="4" t="s">
        <v>133</v>
      </c>
      <c r="G16" s="4" t="s">
        <v>134</v>
      </c>
      <c r="H16" s="4" t="s">
        <v>135</v>
      </c>
      <c r="I16" s="4"/>
      <c r="J16" s="4" t="s">
        <v>23</v>
      </c>
      <c r="K16" s="4"/>
      <c r="L16" s="4"/>
      <c r="M16" s="4"/>
      <c r="N16" s="4"/>
      <c r="O16" s="4"/>
    </row>
    <row r="17" customFormat="false" ht="35.05" hidden="false" customHeight="false" outlineLevel="0" collapsed="false">
      <c r="A17" s="16" t="s">
        <v>136</v>
      </c>
      <c r="B17" s="18" t="s">
        <v>74</v>
      </c>
      <c r="C17" s="4" t="s">
        <v>67</v>
      </c>
      <c r="D17" s="4" t="s">
        <v>137</v>
      </c>
      <c r="E17" s="4" t="s">
        <v>76</v>
      </c>
      <c r="F17" s="4" t="s">
        <v>138</v>
      </c>
      <c r="G17" s="4" t="s">
        <v>139</v>
      </c>
      <c r="H17" s="4" t="s">
        <v>140</v>
      </c>
      <c r="I17" s="4"/>
      <c r="J17" s="4" t="s">
        <v>23</v>
      </c>
      <c r="K17" s="4"/>
      <c r="L17" s="4"/>
      <c r="M17" s="4"/>
      <c r="N17" s="4"/>
      <c r="O17" s="4"/>
    </row>
    <row r="18" customFormat="false" ht="23.85" hidden="false" customHeight="false" outlineLevel="0" collapsed="false">
      <c r="A18" s="16" t="s">
        <v>141</v>
      </c>
      <c r="B18" s="18" t="s">
        <v>74</v>
      </c>
      <c r="C18" s="4" t="s">
        <v>113</v>
      </c>
      <c r="D18" s="4" t="s">
        <v>137</v>
      </c>
      <c r="E18" s="4" t="s">
        <v>142</v>
      </c>
      <c r="F18" s="4" t="s">
        <v>143</v>
      </c>
      <c r="G18" s="4" t="s">
        <v>144</v>
      </c>
      <c r="H18" s="4" t="s">
        <v>145</v>
      </c>
      <c r="I18" s="4"/>
      <c r="J18" s="4" t="s">
        <v>23</v>
      </c>
      <c r="K18" s="4"/>
      <c r="L18" s="4"/>
      <c r="M18" s="4"/>
      <c r="N18" s="4"/>
      <c r="O18" s="4"/>
    </row>
    <row r="19" customFormat="false" ht="23.85" hidden="false" customHeight="false" outlineLevel="0" collapsed="false">
      <c r="A19" s="16" t="s">
        <v>146</v>
      </c>
      <c r="B19" s="18" t="s">
        <v>74</v>
      </c>
      <c r="C19" s="4" t="s">
        <v>75</v>
      </c>
      <c r="D19" s="4" t="s">
        <v>122</v>
      </c>
      <c r="E19" s="4" t="s">
        <v>147</v>
      </c>
      <c r="F19" s="4" t="s">
        <v>148</v>
      </c>
      <c r="G19" s="4" t="s">
        <v>110</v>
      </c>
      <c r="H19" s="4" t="s">
        <v>149</v>
      </c>
      <c r="I19" s="4"/>
      <c r="J19" s="4" t="s">
        <v>23</v>
      </c>
      <c r="K19" s="4"/>
      <c r="L19" s="4"/>
      <c r="M19" s="4"/>
      <c r="N19" s="4"/>
      <c r="O19" s="4"/>
    </row>
    <row r="20" customFormat="false" ht="35.05" hidden="false" customHeight="false" outlineLevel="0" collapsed="false">
      <c r="A20" s="16" t="s">
        <v>150</v>
      </c>
      <c r="B20" s="19" t="s">
        <v>86</v>
      </c>
      <c r="C20" s="4" t="s">
        <v>67</v>
      </c>
      <c r="D20" s="4" t="s">
        <v>122</v>
      </c>
      <c r="E20" s="4" t="s">
        <v>151</v>
      </c>
      <c r="F20" s="4" t="s">
        <v>152</v>
      </c>
      <c r="G20" s="4" t="s">
        <v>153</v>
      </c>
      <c r="H20" s="4" t="s">
        <v>154</v>
      </c>
      <c r="I20" s="4"/>
      <c r="J20" s="4" t="s">
        <v>23</v>
      </c>
      <c r="K20" s="4"/>
      <c r="L20" s="4"/>
      <c r="M20" s="4"/>
      <c r="N20" s="4"/>
      <c r="O20" s="4"/>
    </row>
    <row r="21" customFormat="false" ht="23.85" hidden="false" customHeight="false" outlineLevel="0" collapsed="false">
      <c r="A21" s="16" t="s">
        <v>155</v>
      </c>
      <c r="B21" s="18" t="s">
        <v>74</v>
      </c>
      <c r="C21" s="4" t="s">
        <v>92</v>
      </c>
      <c r="D21" s="4" t="s">
        <v>122</v>
      </c>
      <c r="E21" s="4" t="s">
        <v>156</v>
      </c>
      <c r="F21" s="4" t="s">
        <v>157</v>
      </c>
      <c r="G21" s="4" t="s">
        <v>110</v>
      </c>
      <c r="H21" s="4" t="s">
        <v>158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159</v>
      </c>
      <c r="B22" s="17" t="s">
        <v>66</v>
      </c>
      <c r="C22" s="4" t="s">
        <v>92</v>
      </c>
      <c r="D22" s="4" t="s">
        <v>160</v>
      </c>
      <c r="E22" s="4" t="s">
        <v>161</v>
      </c>
      <c r="F22" s="4" t="s">
        <v>162</v>
      </c>
      <c r="G22" s="4" t="s">
        <v>110</v>
      </c>
      <c r="H22" s="4" t="s">
        <v>163</v>
      </c>
      <c r="I22" s="4"/>
      <c r="J22" s="4" t="s">
        <v>23</v>
      </c>
      <c r="K22" s="4"/>
      <c r="L22" s="4"/>
      <c r="M22" s="4"/>
      <c r="N22" s="4"/>
      <c r="O22" s="4"/>
    </row>
    <row r="23" customFormat="false" ht="15" hidden="false" customHeight="false" outlineLevel="0" collapsed="false">
      <c r="A23" s="16" t="s">
        <v>164</v>
      </c>
      <c r="B23" s="17" t="s">
        <v>66</v>
      </c>
      <c r="C23" s="4" t="s">
        <v>92</v>
      </c>
      <c r="D23" s="4" t="s">
        <v>160</v>
      </c>
      <c r="E23" s="4" t="s">
        <v>165</v>
      </c>
      <c r="F23" s="4" t="s">
        <v>166</v>
      </c>
      <c r="G23" s="4" t="s">
        <v>110</v>
      </c>
      <c r="H23" s="4" t="s">
        <v>167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168</v>
      </c>
      <c r="B24" s="19" t="s">
        <v>86</v>
      </c>
      <c r="C24" s="4" t="s">
        <v>67</v>
      </c>
      <c r="D24" s="4" t="s">
        <v>160</v>
      </c>
      <c r="E24" s="4" t="s">
        <v>169</v>
      </c>
      <c r="F24" s="4" t="s">
        <v>170</v>
      </c>
      <c r="G24" s="4" t="s">
        <v>110</v>
      </c>
      <c r="H24" s="4" t="s">
        <v>171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172</v>
      </c>
      <c r="B25" s="17" t="s">
        <v>66</v>
      </c>
      <c r="C25" s="4" t="s">
        <v>92</v>
      </c>
      <c r="D25" s="4" t="s">
        <v>160</v>
      </c>
      <c r="E25" s="4" t="s">
        <v>173</v>
      </c>
      <c r="F25" s="4" t="s">
        <v>174</v>
      </c>
      <c r="G25" s="4" t="s">
        <v>175</v>
      </c>
      <c r="H25" s="4" t="s">
        <v>176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177</v>
      </c>
      <c r="B26" s="17" t="s">
        <v>66</v>
      </c>
      <c r="C26" s="4" t="s">
        <v>92</v>
      </c>
      <c r="D26" s="4" t="s">
        <v>160</v>
      </c>
      <c r="E26" s="4" t="s">
        <v>178</v>
      </c>
      <c r="F26" s="4" t="s">
        <v>179</v>
      </c>
      <c r="G26" s="4" t="s">
        <v>110</v>
      </c>
      <c r="H26" s="4" t="s">
        <v>180</v>
      </c>
      <c r="I26" s="4"/>
      <c r="J26" s="4" t="s">
        <v>23</v>
      </c>
      <c r="K26" s="4"/>
      <c r="L26" s="4"/>
      <c r="M26" s="4"/>
      <c r="N26" s="4"/>
      <c r="O26" s="4"/>
    </row>
    <row r="27" customFormat="false" ht="23.85" hidden="false" customHeight="false" outlineLevel="0" collapsed="false">
      <c r="A27" s="16" t="s">
        <v>181</v>
      </c>
      <c r="B27" s="18" t="s">
        <v>74</v>
      </c>
      <c r="C27" s="4" t="s">
        <v>113</v>
      </c>
      <c r="D27" s="4" t="s">
        <v>160</v>
      </c>
      <c r="E27" s="4" t="s">
        <v>182</v>
      </c>
      <c r="F27" s="4" t="s">
        <v>183</v>
      </c>
      <c r="G27" s="4" t="s">
        <v>110</v>
      </c>
      <c r="H27" s="4" t="s">
        <v>184</v>
      </c>
      <c r="I27" s="4"/>
      <c r="J27" s="4" t="s">
        <v>23</v>
      </c>
      <c r="K27" s="4"/>
      <c r="L27" s="4"/>
      <c r="M27" s="4"/>
      <c r="N27" s="4"/>
      <c r="O27" s="4"/>
    </row>
    <row r="28" customFormat="false" ht="35.05" hidden="false" customHeight="false" outlineLevel="0" collapsed="false">
      <c r="A28" s="16" t="s">
        <v>185</v>
      </c>
      <c r="B28" s="17" t="s">
        <v>66</v>
      </c>
      <c r="C28" s="4" t="s">
        <v>67</v>
      </c>
      <c r="D28" s="4" t="s">
        <v>186</v>
      </c>
      <c r="E28" s="4" t="s">
        <v>76</v>
      </c>
      <c r="F28" s="4" t="s">
        <v>187</v>
      </c>
      <c r="G28" s="4" t="s">
        <v>110</v>
      </c>
      <c r="H28" s="4" t="s">
        <v>188</v>
      </c>
      <c r="I28" s="4"/>
      <c r="J28" s="4" t="s">
        <v>23</v>
      </c>
      <c r="K28" s="4"/>
      <c r="L28" s="4"/>
      <c r="M28" s="4"/>
      <c r="N28" s="4"/>
      <c r="O28" s="4"/>
    </row>
    <row r="29" customFormat="false" ht="23.85" hidden="false" customHeight="false" outlineLevel="0" collapsed="false">
      <c r="A29" s="16" t="s">
        <v>189</v>
      </c>
      <c r="B29" s="17" t="s">
        <v>66</v>
      </c>
      <c r="C29" s="4" t="s">
        <v>67</v>
      </c>
      <c r="D29" s="4" t="s">
        <v>186</v>
      </c>
      <c r="E29" s="4" t="s">
        <v>190</v>
      </c>
      <c r="F29" s="4" t="s">
        <v>191</v>
      </c>
      <c r="G29" s="4" t="s">
        <v>110</v>
      </c>
      <c r="H29" s="4" t="s">
        <v>192</v>
      </c>
      <c r="I29" s="4"/>
      <c r="J29" s="4" t="s">
        <v>23</v>
      </c>
      <c r="K29" s="4"/>
      <c r="L29" s="4"/>
      <c r="M29" s="4"/>
      <c r="N29" s="4"/>
      <c r="O29" s="4"/>
    </row>
    <row r="30" customFormat="false" ht="15" hidden="false" customHeight="false" outlineLevel="0" collapsed="false">
      <c r="A30" s="16" t="s">
        <v>193</v>
      </c>
      <c r="B30" s="18" t="s">
        <v>74</v>
      </c>
      <c r="C30" s="4" t="s">
        <v>75</v>
      </c>
      <c r="D30" s="4" t="s">
        <v>186</v>
      </c>
      <c r="E30" s="4" t="s">
        <v>194</v>
      </c>
      <c r="F30" s="4" t="s">
        <v>195</v>
      </c>
      <c r="G30" s="4" t="s">
        <v>110</v>
      </c>
      <c r="H30" s="4" t="s">
        <v>196</v>
      </c>
      <c r="I30" s="4"/>
      <c r="J30" s="4" t="s">
        <v>23</v>
      </c>
      <c r="K30" s="4"/>
      <c r="L30" s="4"/>
      <c r="M30" s="4"/>
      <c r="N30" s="4"/>
      <c r="O30" s="4"/>
    </row>
    <row r="31" customFormat="false" ht="23.85" hidden="false" customHeight="false" outlineLevel="0" collapsed="false">
      <c r="A31" s="16" t="s">
        <v>197</v>
      </c>
      <c r="B31" s="18" t="s">
        <v>74</v>
      </c>
      <c r="C31" s="4" t="s">
        <v>67</v>
      </c>
      <c r="D31" s="4" t="s">
        <v>186</v>
      </c>
      <c r="E31" s="4" t="s">
        <v>198</v>
      </c>
      <c r="F31" s="4" t="s">
        <v>199</v>
      </c>
      <c r="G31" s="4" t="s">
        <v>110</v>
      </c>
      <c r="H31" s="4" t="s">
        <v>200</v>
      </c>
      <c r="I31" s="4"/>
      <c r="J31" s="4" t="s">
        <v>23</v>
      </c>
      <c r="K31" s="4"/>
      <c r="L31" s="4"/>
      <c r="M31" s="4"/>
      <c r="N31" s="4"/>
      <c r="O31" s="4"/>
    </row>
    <row r="32" customFormat="false" ht="15" hidden="false" customHeight="false" outlineLevel="0" collapsed="false">
      <c r="A32" s="16" t="s">
        <v>201</v>
      </c>
      <c r="B32" s="17" t="s">
        <v>66</v>
      </c>
      <c r="C32" s="4" t="s">
        <v>75</v>
      </c>
      <c r="D32" s="4" t="s">
        <v>186</v>
      </c>
      <c r="E32" s="4" t="s">
        <v>202</v>
      </c>
      <c r="F32" s="4" t="s">
        <v>203</v>
      </c>
      <c r="G32" s="4" t="s">
        <v>110</v>
      </c>
      <c r="H32" s="4" t="s">
        <v>204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205</v>
      </c>
      <c r="B33" s="17" t="s">
        <v>66</v>
      </c>
      <c r="C33" s="4" t="s">
        <v>75</v>
      </c>
      <c r="D33" s="4" t="s">
        <v>186</v>
      </c>
      <c r="E33" s="4" t="s">
        <v>206</v>
      </c>
      <c r="F33" s="4" t="s">
        <v>207</v>
      </c>
      <c r="G33" s="4" t="s">
        <v>110</v>
      </c>
      <c r="H33" s="4" t="s">
        <v>208</v>
      </c>
      <c r="I33" s="4"/>
      <c r="J33" s="4" t="s">
        <v>23</v>
      </c>
      <c r="K33" s="4"/>
      <c r="L33" s="4"/>
      <c r="M33" s="4"/>
      <c r="N33" s="4"/>
      <c r="O33" s="4"/>
    </row>
    <row r="34" customFormat="false" ht="23.85" hidden="false" customHeight="false" outlineLevel="0" collapsed="false">
      <c r="A34" s="16" t="s">
        <v>209</v>
      </c>
      <c r="B34" s="18" t="s">
        <v>74</v>
      </c>
      <c r="C34" s="4" t="s">
        <v>67</v>
      </c>
      <c r="D34" s="4" t="s">
        <v>186</v>
      </c>
      <c r="E34" s="4" t="s">
        <v>110</v>
      </c>
      <c r="F34" s="4" t="s">
        <v>210</v>
      </c>
      <c r="G34" s="4" t="s">
        <v>211</v>
      </c>
      <c r="H34" s="4" t="s">
        <v>212</v>
      </c>
      <c r="I34" s="4"/>
      <c r="J34" s="4" t="s">
        <v>23</v>
      </c>
      <c r="K34" s="4"/>
      <c r="L34" s="4"/>
      <c r="M34" s="4"/>
      <c r="N34" s="4"/>
      <c r="O34" s="4"/>
    </row>
    <row r="35" customFormat="false" ht="23.85" hidden="false" customHeight="false" outlineLevel="0" collapsed="false">
      <c r="A35" s="16" t="s">
        <v>213</v>
      </c>
      <c r="B35" s="19" t="s">
        <v>86</v>
      </c>
      <c r="C35" s="4" t="s">
        <v>67</v>
      </c>
      <c r="D35" s="4" t="s">
        <v>186</v>
      </c>
      <c r="E35" s="4" t="s">
        <v>214</v>
      </c>
      <c r="F35" s="4" t="s">
        <v>215</v>
      </c>
      <c r="G35" s="4" t="s">
        <v>216</v>
      </c>
      <c r="H35" s="4" t="s">
        <v>217</v>
      </c>
      <c r="I35" s="4"/>
      <c r="J35" s="4" t="s">
        <v>23</v>
      </c>
      <c r="K35" s="4"/>
      <c r="L35" s="4"/>
      <c r="M35" s="4"/>
      <c r="N35" s="4"/>
      <c r="O35" s="4"/>
    </row>
    <row r="36" customFormat="false" ht="15" hidden="false" customHeight="false" outlineLevel="0" collapsed="false">
      <c r="A36" s="16" t="s">
        <v>218</v>
      </c>
      <c r="B36" s="18" t="s">
        <v>74</v>
      </c>
      <c r="C36" s="4" t="s">
        <v>75</v>
      </c>
      <c r="D36" s="4" t="s">
        <v>186</v>
      </c>
      <c r="E36" s="4" t="s">
        <v>219</v>
      </c>
      <c r="F36" s="4" t="s">
        <v>220</v>
      </c>
      <c r="G36" s="4" t="s">
        <v>110</v>
      </c>
      <c r="H36" s="4" t="s">
        <v>221</v>
      </c>
      <c r="I36" s="4"/>
      <c r="J36" s="4" t="s">
        <v>23</v>
      </c>
      <c r="K36" s="4"/>
      <c r="L36" s="4"/>
      <c r="M36" s="4"/>
      <c r="N36" s="4"/>
      <c r="O36" s="4"/>
    </row>
    <row r="37" customFormat="false" ht="23.85" hidden="false" customHeight="false" outlineLevel="0" collapsed="false">
      <c r="A37" s="16" t="s">
        <v>222</v>
      </c>
      <c r="B37" s="18" t="s">
        <v>74</v>
      </c>
      <c r="C37" s="4" t="s">
        <v>67</v>
      </c>
      <c r="D37" s="4" t="s">
        <v>186</v>
      </c>
      <c r="E37" s="4" t="s">
        <v>223</v>
      </c>
      <c r="F37" s="4" t="s">
        <v>224</v>
      </c>
      <c r="G37" s="4" t="s">
        <v>110</v>
      </c>
      <c r="H37" s="4" t="s">
        <v>225</v>
      </c>
      <c r="I37" s="4"/>
      <c r="J37" s="4" t="s">
        <v>23</v>
      </c>
      <c r="K37" s="4"/>
      <c r="L37" s="4"/>
      <c r="M37" s="4"/>
      <c r="N37" s="4"/>
      <c r="O37" s="4"/>
    </row>
    <row r="38" customFormat="false" ht="23.85" hidden="false" customHeight="false" outlineLevel="0" collapsed="false">
      <c r="A38" s="16" t="s">
        <v>226</v>
      </c>
      <c r="B38" s="17" t="s">
        <v>66</v>
      </c>
      <c r="C38" s="4" t="s">
        <v>67</v>
      </c>
      <c r="D38" s="4" t="s">
        <v>227</v>
      </c>
      <c r="E38" s="4" t="s">
        <v>228</v>
      </c>
      <c r="F38" s="4" t="s">
        <v>229</v>
      </c>
      <c r="G38" s="4" t="s">
        <v>110</v>
      </c>
      <c r="H38" s="4" t="s">
        <v>230</v>
      </c>
      <c r="I38" s="4"/>
      <c r="J38" s="4" t="s">
        <v>23</v>
      </c>
      <c r="K38" s="4"/>
      <c r="L38" s="4"/>
      <c r="M38" s="4"/>
      <c r="N38" s="4"/>
      <c r="O38" s="4"/>
    </row>
    <row r="39" customFormat="false" ht="15" hidden="false" customHeight="false" outlineLevel="0" collapsed="false">
      <c r="A39" s="16" t="s">
        <v>231</v>
      </c>
      <c r="B39" s="18" t="s">
        <v>74</v>
      </c>
      <c r="C39" s="4" t="s">
        <v>67</v>
      </c>
      <c r="D39" s="4" t="s">
        <v>227</v>
      </c>
      <c r="E39" s="4" t="s">
        <v>232</v>
      </c>
      <c r="F39" s="4" t="s">
        <v>233</v>
      </c>
      <c r="G39" s="4" t="s">
        <v>110</v>
      </c>
      <c r="H39" s="4" t="s">
        <v>234</v>
      </c>
      <c r="I39" s="4"/>
      <c r="J39" s="4" t="s">
        <v>23</v>
      </c>
      <c r="K39" s="4"/>
      <c r="L39" s="4"/>
      <c r="M39" s="4"/>
      <c r="N39" s="4"/>
      <c r="O39" s="4"/>
    </row>
    <row r="40" customFormat="false" ht="15" hidden="false" customHeight="false" outlineLevel="0" collapsed="false">
      <c r="A40" s="16" t="s">
        <v>235</v>
      </c>
      <c r="B40" s="18" t="s">
        <v>74</v>
      </c>
      <c r="C40" s="4" t="s">
        <v>75</v>
      </c>
      <c r="D40" s="4" t="s">
        <v>227</v>
      </c>
      <c r="E40" s="4" t="s">
        <v>236</v>
      </c>
      <c r="F40" s="4" t="s">
        <v>237</v>
      </c>
      <c r="G40" s="4" t="s">
        <v>110</v>
      </c>
      <c r="H40" s="4" t="s">
        <v>238</v>
      </c>
      <c r="I40" s="4"/>
      <c r="J40" s="4" t="s">
        <v>23</v>
      </c>
      <c r="K40" s="4"/>
      <c r="L40" s="4"/>
      <c r="M40" s="4"/>
      <c r="N40" s="4"/>
      <c r="O40" s="4"/>
    </row>
    <row r="41" customFormat="false" ht="23.85" hidden="false" customHeight="false" outlineLevel="0" collapsed="false">
      <c r="A41" s="16" t="s">
        <v>239</v>
      </c>
      <c r="B41" s="17" t="s">
        <v>66</v>
      </c>
      <c r="C41" s="4" t="s">
        <v>67</v>
      </c>
      <c r="D41" s="4" t="s">
        <v>227</v>
      </c>
      <c r="E41" s="4" t="s">
        <v>240</v>
      </c>
      <c r="F41" s="4" t="s">
        <v>241</v>
      </c>
      <c r="G41" s="4" t="s">
        <v>110</v>
      </c>
      <c r="H41" s="4" t="s">
        <v>242</v>
      </c>
      <c r="I41" s="4"/>
      <c r="J41" s="4" t="s">
        <v>23</v>
      </c>
      <c r="K41" s="4"/>
      <c r="L41" s="4"/>
      <c r="M41" s="4"/>
      <c r="N41" s="4"/>
      <c r="O41" s="4"/>
    </row>
    <row r="42" customFormat="false" ht="15" hidden="false" customHeight="false" outlineLevel="0" collapsed="false">
      <c r="A42" s="16" t="s">
        <v>243</v>
      </c>
      <c r="B42" s="17" t="s">
        <v>66</v>
      </c>
      <c r="C42" s="4" t="s">
        <v>75</v>
      </c>
      <c r="D42" s="4" t="s">
        <v>227</v>
      </c>
      <c r="E42" s="4" t="s">
        <v>244</v>
      </c>
      <c r="F42" s="4" t="s">
        <v>245</v>
      </c>
      <c r="G42" s="4" t="s">
        <v>110</v>
      </c>
      <c r="H42" s="4" t="s">
        <v>246</v>
      </c>
      <c r="I42" s="4"/>
      <c r="J42" s="4" t="s">
        <v>23</v>
      </c>
      <c r="K42" s="4"/>
      <c r="L42" s="4"/>
      <c r="M42" s="4"/>
      <c r="N42" s="4"/>
      <c r="O42" s="4"/>
    </row>
    <row r="43" customFormat="false" ht="15" hidden="false" customHeight="false" outlineLevel="0" collapsed="false">
      <c r="A43" s="16" t="s">
        <v>247</v>
      </c>
      <c r="B43" s="18" t="s">
        <v>74</v>
      </c>
      <c r="C43" s="4" t="s">
        <v>92</v>
      </c>
      <c r="D43" s="4" t="s">
        <v>227</v>
      </c>
      <c r="E43" s="4" t="s">
        <v>248</v>
      </c>
      <c r="F43" s="4" t="s">
        <v>249</v>
      </c>
      <c r="G43" s="4" t="s">
        <v>110</v>
      </c>
      <c r="H43" s="4" t="s">
        <v>250</v>
      </c>
      <c r="I43" s="4"/>
      <c r="J43" s="4" t="s">
        <v>23</v>
      </c>
      <c r="K43" s="4"/>
      <c r="L43" s="4"/>
      <c r="M43" s="4"/>
      <c r="N43" s="4"/>
      <c r="O43" s="4"/>
    </row>
    <row r="44" customFormat="false" ht="57.45" hidden="false" customHeight="false" outlineLevel="0" collapsed="false">
      <c r="A44" s="16" t="s">
        <v>251</v>
      </c>
      <c r="B44" s="17" t="s">
        <v>66</v>
      </c>
      <c r="C44" s="4" t="s">
        <v>67</v>
      </c>
      <c r="D44" s="4" t="s">
        <v>252</v>
      </c>
      <c r="E44" s="4" t="s">
        <v>253</v>
      </c>
      <c r="F44" s="4" t="s">
        <v>254</v>
      </c>
      <c r="G44" s="4" t="s">
        <v>255</v>
      </c>
      <c r="H44" s="4" t="s">
        <v>256</v>
      </c>
      <c r="I44" s="4"/>
      <c r="J44" s="4" t="s">
        <v>23</v>
      </c>
      <c r="K44" s="4"/>
      <c r="L44" s="4"/>
      <c r="M44" s="4"/>
      <c r="N44" s="4"/>
      <c r="O44" s="4"/>
    </row>
    <row r="45" customFormat="false" ht="23.85" hidden="false" customHeight="false" outlineLevel="0" collapsed="false">
      <c r="A45" s="16" t="s">
        <v>257</v>
      </c>
      <c r="B45" s="17" t="s">
        <v>66</v>
      </c>
      <c r="C45" s="4" t="s">
        <v>75</v>
      </c>
      <c r="D45" s="4" t="s">
        <v>252</v>
      </c>
      <c r="E45" s="4" t="s">
        <v>110</v>
      </c>
      <c r="F45" s="4" t="s">
        <v>258</v>
      </c>
      <c r="G45" s="4" t="s">
        <v>259</v>
      </c>
      <c r="H45" s="4" t="s">
        <v>260</v>
      </c>
      <c r="I45" s="4"/>
      <c r="J45" s="4" t="s">
        <v>23</v>
      </c>
      <c r="K45" s="4"/>
      <c r="L45" s="4"/>
      <c r="M45" s="4"/>
      <c r="N45" s="4"/>
      <c r="O45" s="4"/>
    </row>
    <row r="46" customFormat="false" ht="23.85" hidden="false" customHeight="false" outlineLevel="0" collapsed="false">
      <c r="A46" s="16" t="s">
        <v>261</v>
      </c>
      <c r="B46" s="18" t="s">
        <v>74</v>
      </c>
      <c r="C46" s="4" t="s">
        <v>75</v>
      </c>
      <c r="D46" s="4" t="s">
        <v>252</v>
      </c>
      <c r="E46" s="4" t="s">
        <v>110</v>
      </c>
      <c r="F46" s="4" t="s">
        <v>262</v>
      </c>
      <c r="G46" s="4" t="s">
        <v>263</v>
      </c>
      <c r="H46" s="4" t="s">
        <v>264</v>
      </c>
      <c r="I46" s="4"/>
      <c r="J46" s="4" t="s">
        <v>23</v>
      </c>
      <c r="K46" s="4"/>
      <c r="L46" s="4"/>
      <c r="M46" s="4"/>
      <c r="N46" s="4"/>
      <c r="O46" s="4"/>
    </row>
    <row r="47" customFormat="false" ht="23.85" hidden="false" customHeight="false" outlineLevel="0" collapsed="false">
      <c r="A47" s="16" t="s">
        <v>265</v>
      </c>
      <c r="B47" s="18" t="s">
        <v>74</v>
      </c>
      <c r="C47" s="4" t="s">
        <v>75</v>
      </c>
      <c r="D47" s="4" t="s">
        <v>252</v>
      </c>
      <c r="E47" s="4" t="s">
        <v>110</v>
      </c>
      <c r="F47" s="4" t="s">
        <v>266</v>
      </c>
      <c r="G47" s="4" t="s">
        <v>267</v>
      </c>
      <c r="H47" s="4" t="s">
        <v>268</v>
      </c>
      <c r="I47" s="4"/>
      <c r="J47" s="4" t="s">
        <v>23</v>
      </c>
      <c r="K47" s="4"/>
      <c r="L47" s="4"/>
      <c r="M47" s="4"/>
      <c r="N47" s="4"/>
      <c r="O47" s="4"/>
    </row>
    <row r="48" customFormat="false" ht="23.85" hidden="false" customHeight="false" outlineLevel="0" collapsed="false">
      <c r="A48" s="16" t="s">
        <v>269</v>
      </c>
      <c r="B48" s="18" t="s">
        <v>74</v>
      </c>
      <c r="C48" s="4" t="s">
        <v>67</v>
      </c>
      <c r="D48" s="4" t="s">
        <v>252</v>
      </c>
      <c r="E48" s="4" t="s">
        <v>110</v>
      </c>
      <c r="F48" s="4" t="s">
        <v>270</v>
      </c>
      <c r="G48" s="4" t="s">
        <v>271</v>
      </c>
      <c r="H48" s="4" t="s">
        <v>272</v>
      </c>
      <c r="I48" s="4"/>
      <c r="J48" s="4" t="s">
        <v>23</v>
      </c>
      <c r="K48" s="4"/>
      <c r="L48" s="4"/>
      <c r="M48" s="4"/>
      <c r="N48" s="4"/>
      <c r="O48" s="4"/>
    </row>
    <row r="49" customFormat="false" ht="15" hidden="false" customHeight="false" outlineLevel="0" collapsed="false">
      <c r="A49" s="16" t="s">
        <v>273</v>
      </c>
      <c r="B49" s="18" t="s">
        <v>74</v>
      </c>
      <c r="C49" s="4" t="s">
        <v>75</v>
      </c>
      <c r="D49" s="4" t="s">
        <v>252</v>
      </c>
      <c r="E49" s="4" t="s">
        <v>274</v>
      </c>
      <c r="F49" s="4" t="s">
        <v>275</v>
      </c>
      <c r="G49" s="4" t="s">
        <v>276</v>
      </c>
      <c r="H49" s="4" t="s">
        <v>264</v>
      </c>
      <c r="I49" s="4"/>
      <c r="J49" s="4" t="s">
        <v>23</v>
      </c>
      <c r="K49" s="4"/>
      <c r="L49" s="4"/>
      <c r="M49" s="4"/>
      <c r="N49" s="4"/>
      <c r="O49" s="4"/>
    </row>
    <row r="50" customFormat="false" ht="15" hidden="false" customHeight="false" outlineLevel="0" collapsed="false">
      <c r="A50" s="16" t="s">
        <v>277</v>
      </c>
      <c r="B50" s="18" t="s">
        <v>74</v>
      </c>
      <c r="C50" s="4" t="s">
        <v>75</v>
      </c>
      <c r="D50" s="4" t="s">
        <v>252</v>
      </c>
      <c r="E50" s="4" t="s">
        <v>278</v>
      </c>
      <c r="F50" s="4" t="s">
        <v>279</v>
      </c>
      <c r="G50" s="4" t="s">
        <v>280</v>
      </c>
      <c r="H50" s="4" t="s">
        <v>281</v>
      </c>
      <c r="I50" s="4"/>
      <c r="J50" s="4" t="s">
        <v>23</v>
      </c>
      <c r="K50" s="4"/>
      <c r="L50" s="4"/>
      <c r="M50" s="4"/>
      <c r="N50" s="4"/>
      <c r="O50" s="4"/>
    </row>
    <row r="51" customFormat="false" ht="23.85" hidden="false" customHeight="false" outlineLevel="0" collapsed="false">
      <c r="A51" s="16" t="s">
        <v>282</v>
      </c>
      <c r="B51" s="19" t="s">
        <v>86</v>
      </c>
      <c r="C51" s="4" t="s">
        <v>67</v>
      </c>
      <c r="D51" s="4" t="s">
        <v>252</v>
      </c>
      <c r="E51" s="4" t="s">
        <v>283</v>
      </c>
      <c r="F51" s="4" t="s">
        <v>284</v>
      </c>
      <c r="G51" s="4" t="s">
        <v>285</v>
      </c>
      <c r="H51" s="4" t="s">
        <v>286</v>
      </c>
      <c r="I51" s="4"/>
      <c r="J51" s="4" t="s">
        <v>23</v>
      </c>
      <c r="K51" s="4"/>
      <c r="L51" s="4"/>
      <c r="M51" s="4"/>
      <c r="N51" s="4"/>
      <c r="O51" s="4"/>
    </row>
    <row r="52" customFormat="false" ht="35.05" hidden="false" customHeight="false" outlineLevel="0" collapsed="false">
      <c r="A52" s="16" t="s">
        <v>287</v>
      </c>
      <c r="B52" s="18" t="s">
        <v>74</v>
      </c>
      <c r="C52" s="4" t="s">
        <v>67</v>
      </c>
      <c r="D52" s="4" t="s">
        <v>252</v>
      </c>
      <c r="E52" s="4" t="s">
        <v>110</v>
      </c>
      <c r="F52" s="4" t="s">
        <v>288</v>
      </c>
      <c r="G52" s="4" t="s">
        <v>289</v>
      </c>
      <c r="H52" s="4" t="s">
        <v>290</v>
      </c>
      <c r="I52" s="4"/>
      <c r="J52" s="4" t="s">
        <v>23</v>
      </c>
      <c r="K52" s="4"/>
      <c r="L52" s="4"/>
      <c r="M52" s="4"/>
      <c r="N52" s="4"/>
      <c r="O52" s="4"/>
    </row>
    <row r="53" customFormat="false" ht="23.85" hidden="false" customHeight="false" outlineLevel="0" collapsed="false">
      <c r="A53" s="16" t="s">
        <v>291</v>
      </c>
      <c r="B53" s="17" t="s">
        <v>66</v>
      </c>
      <c r="C53" s="4" t="s">
        <v>113</v>
      </c>
      <c r="D53" s="4" t="s">
        <v>292</v>
      </c>
      <c r="E53" s="4" t="s">
        <v>293</v>
      </c>
      <c r="F53" s="4" t="s">
        <v>294</v>
      </c>
      <c r="G53" s="4" t="s">
        <v>110</v>
      </c>
      <c r="H53" s="4" t="s">
        <v>295</v>
      </c>
      <c r="I53" s="4"/>
      <c r="J53" s="4" t="s">
        <v>23</v>
      </c>
      <c r="K53" s="4"/>
      <c r="L53" s="4"/>
      <c r="M53" s="4"/>
      <c r="N53" s="4"/>
      <c r="O53" s="4"/>
    </row>
    <row r="54" customFormat="false" ht="23.85" hidden="false" customHeight="false" outlineLevel="0" collapsed="false">
      <c r="A54" s="16" t="s">
        <v>296</v>
      </c>
      <c r="B54" s="17" t="s">
        <v>66</v>
      </c>
      <c r="C54" s="4" t="s">
        <v>75</v>
      </c>
      <c r="D54" s="4" t="s">
        <v>292</v>
      </c>
      <c r="E54" s="4" t="s">
        <v>297</v>
      </c>
      <c r="F54" s="4" t="s">
        <v>298</v>
      </c>
      <c r="G54" s="4" t="s">
        <v>110</v>
      </c>
      <c r="H54" s="4" t="s">
        <v>299</v>
      </c>
      <c r="I54" s="4"/>
      <c r="J54" s="4" t="s">
        <v>23</v>
      </c>
      <c r="K54" s="4"/>
      <c r="L54" s="4"/>
      <c r="M54" s="4"/>
      <c r="N54" s="4"/>
      <c r="O54" s="4"/>
    </row>
    <row r="55" customFormat="false" ht="23.85" hidden="false" customHeight="false" outlineLevel="0" collapsed="false">
      <c r="A55" s="16" t="s">
        <v>300</v>
      </c>
      <c r="B55" s="17" t="s">
        <v>66</v>
      </c>
      <c r="C55" s="4" t="s">
        <v>67</v>
      </c>
      <c r="D55" s="4" t="s">
        <v>292</v>
      </c>
      <c r="E55" s="4" t="s">
        <v>297</v>
      </c>
      <c r="F55" s="4" t="s">
        <v>301</v>
      </c>
      <c r="G55" s="4" t="s">
        <v>302</v>
      </c>
      <c r="H55" s="4" t="s">
        <v>303</v>
      </c>
      <c r="I55" s="4"/>
      <c r="J55" s="4" t="s">
        <v>23</v>
      </c>
      <c r="K55" s="4"/>
      <c r="L55" s="4"/>
      <c r="M55" s="4"/>
      <c r="N55" s="4"/>
      <c r="O55" s="4"/>
    </row>
    <row r="56" customFormat="false" ht="15" hidden="false" customHeight="false" outlineLevel="0" collapsed="false">
      <c r="A56" s="16" t="s">
        <v>304</v>
      </c>
      <c r="B56" s="18" t="s">
        <v>74</v>
      </c>
      <c r="C56" s="4" t="s">
        <v>75</v>
      </c>
      <c r="D56" s="4" t="s">
        <v>292</v>
      </c>
      <c r="E56" s="4" t="s">
        <v>305</v>
      </c>
      <c r="F56" s="4" t="s">
        <v>306</v>
      </c>
      <c r="G56" s="4" t="s">
        <v>110</v>
      </c>
      <c r="H56" s="4" t="s">
        <v>264</v>
      </c>
      <c r="I56" s="4"/>
      <c r="J56" s="4" t="s">
        <v>23</v>
      </c>
      <c r="K56" s="4"/>
      <c r="L56" s="4"/>
      <c r="M56" s="4"/>
      <c r="N56" s="4"/>
      <c r="O56" s="4"/>
    </row>
    <row r="57" customFormat="false" ht="15" hidden="false" customHeight="false" outlineLevel="0" collapsed="false">
      <c r="A57" s="16" t="s">
        <v>307</v>
      </c>
      <c r="B57" s="18" t="s">
        <v>74</v>
      </c>
      <c r="C57" s="4" t="s">
        <v>67</v>
      </c>
      <c r="D57" s="4" t="s">
        <v>292</v>
      </c>
      <c r="E57" s="4" t="s">
        <v>308</v>
      </c>
      <c r="F57" s="4" t="s">
        <v>309</v>
      </c>
      <c r="G57" s="4" t="s">
        <v>110</v>
      </c>
      <c r="H57" s="4" t="s">
        <v>310</v>
      </c>
      <c r="I57" s="4"/>
      <c r="J57" s="4" t="s">
        <v>23</v>
      </c>
      <c r="K57" s="4"/>
      <c r="L57" s="4"/>
      <c r="M57" s="4"/>
      <c r="N57" s="4"/>
      <c r="O57" s="4"/>
    </row>
    <row r="58" customFormat="false" ht="15" hidden="false" customHeight="false" outlineLevel="0" collapsed="false">
      <c r="A58" s="16" t="s">
        <v>311</v>
      </c>
      <c r="B58" s="17" t="s">
        <v>66</v>
      </c>
      <c r="C58" s="4" t="s">
        <v>75</v>
      </c>
      <c r="D58" s="4" t="s">
        <v>292</v>
      </c>
      <c r="E58" s="4" t="s">
        <v>312</v>
      </c>
      <c r="F58" s="4" t="s">
        <v>220</v>
      </c>
      <c r="G58" s="4" t="s">
        <v>110</v>
      </c>
      <c r="H58" s="4" t="s">
        <v>313</v>
      </c>
      <c r="I58" s="4"/>
      <c r="J58" s="4" t="s">
        <v>23</v>
      </c>
      <c r="K58" s="4"/>
      <c r="L58" s="4"/>
      <c r="M58" s="4"/>
      <c r="N58" s="4"/>
      <c r="O58" s="4"/>
    </row>
    <row r="59" customFormat="false" ht="15" hidden="false" customHeight="false" outlineLevel="0" collapsed="false">
      <c r="A59" s="16" t="s">
        <v>314</v>
      </c>
      <c r="B59" s="17" t="s">
        <v>66</v>
      </c>
      <c r="C59" s="4" t="s">
        <v>113</v>
      </c>
      <c r="D59" s="4" t="s">
        <v>315</v>
      </c>
      <c r="E59" s="4" t="s">
        <v>316</v>
      </c>
      <c r="F59" s="4" t="s">
        <v>317</v>
      </c>
      <c r="G59" s="4" t="s">
        <v>318</v>
      </c>
      <c r="H59" s="4" t="s">
        <v>319</v>
      </c>
      <c r="I59" s="4"/>
      <c r="J59" s="4" t="s">
        <v>23</v>
      </c>
      <c r="K59" s="4"/>
      <c r="L59" s="4"/>
      <c r="M59" s="4"/>
      <c r="N59" s="4"/>
      <c r="O59" s="4"/>
    </row>
    <row r="60" customFormat="false" ht="23.85" hidden="false" customHeight="false" outlineLevel="0" collapsed="false">
      <c r="A60" s="16" t="s">
        <v>320</v>
      </c>
      <c r="B60" s="17" t="s">
        <v>66</v>
      </c>
      <c r="C60" s="4" t="s">
        <v>113</v>
      </c>
      <c r="D60" s="4" t="s">
        <v>315</v>
      </c>
      <c r="E60" s="4" t="s">
        <v>321</v>
      </c>
      <c r="F60" s="4" t="s">
        <v>322</v>
      </c>
      <c r="G60" s="4" t="s">
        <v>110</v>
      </c>
      <c r="H60" s="4" t="s">
        <v>323</v>
      </c>
      <c r="I60" s="4"/>
      <c r="J60" s="4" t="s">
        <v>23</v>
      </c>
      <c r="K60" s="4"/>
      <c r="L60" s="4"/>
      <c r="M60" s="4"/>
      <c r="N60" s="4"/>
      <c r="O60" s="4"/>
    </row>
    <row r="61" customFormat="false" ht="23.85" hidden="false" customHeight="false" outlineLevel="0" collapsed="false">
      <c r="A61" s="16" t="s">
        <v>324</v>
      </c>
      <c r="B61" s="17" t="s">
        <v>66</v>
      </c>
      <c r="C61" s="4" t="s">
        <v>113</v>
      </c>
      <c r="D61" s="4" t="s">
        <v>325</v>
      </c>
      <c r="E61" s="4" t="s">
        <v>326</v>
      </c>
      <c r="F61" s="4" t="s">
        <v>327</v>
      </c>
      <c r="G61" s="4" t="s">
        <v>110</v>
      </c>
      <c r="H61" s="4" t="s">
        <v>328</v>
      </c>
      <c r="I61" s="4"/>
      <c r="J61" s="4" t="s">
        <v>23</v>
      </c>
      <c r="K61" s="4"/>
      <c r="L61" s="4"/>
      <c r="M61" s="4"/>
      <c r="N61" s="4"/>
      <c r="O61" s="4"/>
    </row>
    <row r="62" customFormat="false" ht="15" hidden="false" customHeight="false" outlineLevel="0" collapsed="false">
      <c r="A62" s="16" t="s">
        <v>329</v>
      </c>
      <c r="B62" s="18" t="s">
        <v>74</v>
      </c>
      <c r="C62" s="4" t="s">
        <v>67</v>
      </c>
      <c r="D62" s="4" t="s">
        <v>325</v>
      </c>
      <c r="E62" s="4" t="s">
        <v>110</v>
      </c>
      <c r="F62" s="4" t="s">
        <v>330</v>
      </c>
      <c r="G62" s="4" t="s">
        <v>110</v>
      </c>
      <c r="H62" s="4" t="s">
        <v>331</v>
      </c>
      <c r="I62" s="4"/>
      <c r="J62" s="4" t="s">
        <v>23</v>
      </c>
      <c r="K62" s="4"/>
      <c r="L62" s="4"/>
      <c r="M62" s="4"/>
      <c r="N62" s="4"/>
      <c r="O62" s="4"/>
    </row>
    <row r="63" customFormat="false" ht="23.85" hidden="false" customHeight="false" outlineLevel="0" collapsed="false">
      <c r="A63" s="16" t="s">
        <v>332</v>
      </c>
      <c r="B63" s="19" t="s">
        <v>86</v>
      </c>
      <c r="C63" s="4" t="s">
        <v>67</v>
      </c>
      <c r="D63" s="4" t="s">
        <v>333</v>
      </c>
      <c r="E63" s="4" t="s">
        <v>334</v>
      </c>
      <c r="F63" s="4" t="s">
        <v>335</v>
      </c>
      <c r="G63" s="4" t="s">
        <v>110</v>
      </c>
      <c r="H63" s="4" t="s">
        <v>336</v>
      </c>
      <c r="I63" s="4"/>
      <c r="J63" s="4" t="s">
        <v>23</v>
      </c>
      <c r="K63" s="4"/>
      <c r="L63" s="4"/>
      <c r="M63" s="4"/>
      <c r="N63" s="4"/>
      <c r="O63" s="4"/>
    </row>
  </sheetData>
  <autoFilter ref="A3:O63"/>
  <mergeCells count="2">
    <mergeCell ref="A1:O1"/>
    <mergeCell ref="A2:O2"/>
  </mergeCells>
  <conditionalFormatting sqref="J4:J6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63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63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63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63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337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338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35.05" hidden="false" customHeight="false" outlineLevel="0" collapsed="false">
      <c r="A4" s="16" t="s">
        <v>339</v>
      </c>
      <c r="B4" s="17" t="s">
        <v>66</v>
      </c>
      <c r="C4" s="4" t="s">
        <v>67</v>
      </c>
      <c r="D4" s="4" t="s">
        <v>340</v>
      </c>
      <c r="E4" s="4" t="s">
        <v>76</v>
      </c>
      <c r="F4" s="4" t="s">
        <v>341</v>
      </c>
      <c r="G4" s="4" t="s">
        <v>342</v>
      </c>
      <c r="H4" s="4" t="s">
        <v>343</v>
      </c>
      <c r="I4" s="4"/>
      <c r="J4" s="4" t="s">
        <v>23</v>
      </c>
      <c r="K4" s="4"/>
      <c r="L4" s="4"/>
      <c r="M4" s="4"/>
      <c r="N4" s="4"/>
      <c r="O4" s="4"/>
    </row>
    <row r="5" customFormat="false" ht="15" hidden="false" customHeight="false" outlineLevel="0" collapsed="false">
      <c r="A5" s="16" t="s">
        <v>344</v>
      </c>
      <c r="B5" s="18" t="s">
        <v>74</v>
      </c>
      <c r="C5" s="4" t="s">
        <v>75</v>
      </c>
      <c r="D5" s="4" t="s">
        <v>340</v>
      </c>
      <c r="E5" s="4" t="s">
        <v>345</v>
      </c>
      <c r="F5" s="4" t="s">
        <v>346</v>
      </c>
      <c r="G5" s="4" t="s">
        <v>347</v>
      </c>
      <c r="H5" s="4" t="s">
        <v>264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348</v>
      </c>
      <c r="B6" s="18" t="s">
        <v>74</v>
      </c>
      <c r="C6" s="4" t="s">
        <v>67</v>
      </c>
      <c r="D6" s="4" t="s">
        <v>340</v>
      </c>
      <c r="E6" s="4" t="s">
        <v>349</v>
      </c>
      <c r="F6" s="4" t="s">
        <v>350</v>
      </c>
      <c r="G6" s="4" t="s">
        <v>110</v>
      </c>
      <c r="H6" s="4" t="s">
        <v>351</v>
      </c>
      <c r="I6" s="4"/>
      <c r="J6" s="4" t="s">
        <v>23</v>
      </c>
      <c r="K6" s="4"/>
      <c r="L6" s="4"/>
      <c r="M6" s="4"/>
      <c r="N6" s="4"/>
      <c r="O6" s="4"/>
    </row>
    <row r="7" customFormat="false" ht="23.85" hidden="false" customHeight="false" outlineLevel="0" collapsed="false">
      <c r="A7" s="16" t="s">
        <v>352</v>
      </c>
      <c r="B7" s="17" t="s">
        <v>66</v>
      </c>
      <c r="C7" s="4" t="s">
        <v>113</v>
      </c>
      <c r="D7" s="4" t="s">
        <v>340</v>
      </c>
      <c r="E7" s="4" t="s">
        <v>353</v>
      </c>
      <c r="F7" s="4" t="s">
        <v>354</v>
      </c>
      <c r="G7" s="4" t="s">
        <v>110</v>
      </c>
      <c r="H7" s="4" t="s">
        <v>355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356</v>
      </c>
      <c r="B8" s="18" t="s">
        <v>74</v>
      </c>
      <c r="C8" s="4" t="s">
        <v>75</v>
      </c>
      <c r="D8" s="4" t="s">
        <v>340</v>
      </c>
      <c r="E8" s="4" t="s">
        <v>357</v>
      </c>
      <c r="F8" s="4" t="s">
        <v>358</v>
      </c>
      <c r="G8" s="4" t="s">
        <v>110</v>
      </c>
      <c r="H8" s="4" t="s">
        <v>359</v>
      </c>
      <c r="I8" s="4"/>
      <c r="J8" s="4" t="s">
        <v>23</v>
      </c>
      <c r="K8" s="4"/>
      <c r="L8" s="4"/>
      <c r="M8" s="4"/>
      <c r="N8" s="4"/>
      <c r="O8" s="4"/>
    </row>
    <row r="9" customFormat="false" ht="15" hidden="false" customHeight="false" outlineLevel="0" collapsed="false">
      <c r="A9" s="16" t="s">
        <v>360</v>
      </c>
      <c r="B9" s="19" t="s">
        <v>86</v>
      </c>
      <c r="C9" s="4" t="s">
        <v>67</v>
      </c>
      <c r="D9" s="4" t="s">
        <v>340</v>
      </c>
      <c r="E9" s="4" t="s">
        <v>110</v>
      </c>
      <c r="F9" s="4" t="s">
        <v>361</v>
      </c>
      <c r="G9" s="4" t="s">
        <v>110</v>
      </c>
      <c r="H9" s="4" t="s">
        <v>362</v>
      </c>
      <c r="I9" s="4"/>
      <c r="J9" s="4" t="s">
        <v>23</v>
      </c>
      <c r="K9" s="4"/>
      <c r="L9" s="4"/>
      <c r="M9" s="4"/>
      <c r="N9" s="4"/>
      <c r="O9" s="4"/>
    </row>
    <row r="10" customFormat="false" ht="15" hidden="false" customHeight="false" outlineLevel="0" collapsed="false">
      <c r="A10" s="16" t="s">
        <v>363</v>
      </c>
      <c r="B10" s="19" t="s">
        <v>86</v>
      </c>
      <c r="C10" s="4" t="s">
        <v>67</v>
      </c>
      <c r="D10" s="4" t="s">
        <v>340</v>
      </c>
      <c r="E10" s="4" t="s">
        <v>364</v>
      </c>
      <c r="F10" s="4" t="s">
        <v>220</v>
      </c>
      <c r="G10" s="4" t="s">
        <v>110</v>
      </c>
      <c r="H10" s="4" t="s">
        <v>365</v>
      </c>
      <c r="I10" s="4"/>
      <c r="J10" s="4" t="s">
        <v>23</v>
      </c>
      <c r="K10" s="4"/>
      <c r="L10" s="4"/>
      <c r="M10" s="4"/>
      <c r="N10" s="4"/>
      <c r="O10" s="4"/>
    </row>
    <row r="11" customFormat="false" ht="46.25" hidden="false" customHeight="false" outlineLevel="0" collapsed="false">
      <c r="A11" s="16" t="s">
        <v>366</v>
      </c>
      <c r="B11" s="17" t="s">
        <v>66</v>
      </c>
      <c r="C11" s="4" t="s">
        <v>67</v>
      </c>
      <c r="D11" s="4" t="s">
        <v>367</v>
      </c>
      <c r="E11" s="4" t="s">
        <v>368</v>
      </c>
      <c r="F11" s="4" t="s">
        <v>369</v>
      </c>
      <c r="G11" s="4" t="s">
        <v>370</v>
      </c>
      <c r="H11" s="4" t="s">
        <v>371</v>
      </c>
      <c r="I11" s="4"/>
      <c r="J11" s="4" t="s">
        <v>23</v>
      </c>
      <c r="K11" s="4"/>
      <c r="L11" s="4"/>
      <c r="M11" s="4"/>
      <c r="N11" s="4"/>
      <c r="O11" s="4"/>
    </row>
    <row r="12" customFormat="false" ht="23.85" hidden="false" customHeight="false" outlineLevel="0" collapsed="false">
      <c r="A12" s="16" t="s">
        <v>372</v>
      </c>
      <c r="B12" s="18" t="s">
        <v>74</v>
      </c>
      <c r="C12" s="4" t="s">
        <v>67</v>
      </c>
      <c r="D12" s="4" t="s">
        <v>367</v>
      </c>
      <c r="E12" s="4" t="s">
        <v>110</v>
      </c>
      <c r="F12" s="4" t="s">
        <v>373</v>
      </c>
      <c r="G12" s="4" t="s">
        <v>110</v>
      </c>
      <c r="H12" s="4" t="s">
        <v>374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375</v>
      </c>
      <c r="B13" s="18" t="s">
        <v>74</v>
      </c>
      <c r="C13" s="4" t="s">
        <v>67</v>
      </c>
      <c r="D13" s="4" t="s">
        <v>367</v>
      </c>
      <c r="E13" s="4" t="s">
        <v>376</v>
      </c>
      <c r="F13" s="4" t="s">
        <v>377</v>
      </c>
      <c r="G13" s="4" t="s">
        <v>110</v>
      </c>
      <c r="H13" s="4" t="s">
        <v>378</v>
      </c>
      <c r="I13" s="4"/>
      <c r="J13" s="4" t="s">
        <v>23</v>
      </c>
      <c r="K13" s="4"/>
      <c r="L13" s="4"/>
      <c r="M13" s="4"/>
      <c r="N13" s="4"/>
      <c r="O13" s="4"/>
    </row>
    <row r="14" customFormat="false" ht="23.85" hidden="false" customHeight="false" outlineLevel="0" collapsed="false">
      <c r="A14" s="16" t="s">
        <v>379</v>
      </c>
      <c r="B14" s="18" t="s">
        <v>74</v>
      </c>
      <c r="C14" s="4" t="s">
        <v>67</v>
      </c>
      <c r="D14" s="4" t="s">
        <v>367</v>
      </c>
      <c r="E14" s="4" t="s">
        <v>380</v>
      </c>
      <c r="F14" s="4" t="s">
        <v>381</v>
      </c>
      <c r="G14" s="4" t="s">
        <v>110</v>
      </c>
      <c r="H14" s="4" t="s">
        <v>382</v>
      </c>
      <c r="I14" s="4"/>
      <c r="J14" s="4" t="s">
        <v>23</v>
      </c>
      <c r="K14" s="4"/>
      <c r="L14" s="4"/>
      <c r="M14" s="4"/>
      <c r="N14" s="4"/>
      <c r="O14" s="4"/>
    </row>
    <row r="15" customFormat="false" ht="23.85" hidden="false" customHeight="false" outlineLevel="0" collapsed="false">
      <c r="A15" s="16" t="s">
        <v>383</v>
      </c>
      <c r="B15" s="19" t="s">
        <v>86</v>
      </c>
      <c r="C15" s="4" t="s">
        <v>67</v>
      </c>
      <c r="D15" s="4" t="s">
        <v>367</v>
      </c>
      <c r="E15" s="4" t="s">
        <v>384</v>
      </c>
      <c r="F15" s="4" t="s">
        <v>385</v>
      </c>
      <c r="G15" s="4" t="s">
        <v>386</v>
      </c>
      <c r="H15" s="4" t="s">
        <v>387</v>
      </c>
      <c r="I15" s="4"/>
      <c r="J15" s="4" t="s">
        <v>23</v>
      </c>
      <c r="K15" s="4"/>
      <c r="L15" s="4"/>
      <c r="M15" s="4"/>
      <c r="N15" s="4"/>
      <c r="O15" s="4"/>
    </row>
    <row r="16" customFormat="false" ht="15" hidden="false" customHeight="false" outlineLevel="0" collapsed="false">
      <c r="A16" s="16" t="s">
        <v>388</v>
      </c>
      <c r="B16" s="18" t="s">
        <v>74</v>
      </c>
      <c r="C16" s="4" t="s">
        <v>75</v>
      </c>
      <c r="D16" s="4" t="s">
        <v>367</v>
      </c>
      <c r="E16" s="4" t="s">
        <v>389</v>
      </c>
      <c r="F16" s="4" t="s">
        <v>390</v>
      </c>
      <c r="G16" s="4" t="s">
        <v>110</v>
      </c>
      <c r="H16" s="4" t="s">
        <v>264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391</v>
      </c>
      <c r="B17" s="17" t="s">
        <v>66</v>
      </c>
      <c r="C17" s="4" t="s">
        <v>75</v>
      </c>
      <c r="D17" s="4" t="s">
        <v>367</v>
      </c>
      <c r="E17" s="4" t="s">
        <v>392</v>
      </c>
      <c r="F17" s="4" t="s">
        <v>393</v>
      </c>
      <c r="G17" s="4" t="s">
        <v>110</v>
      </c>
      <c r="H17" s="4" t="s">
        <v>264</v>
      </c>
      <c r="I17" s="4"/>
      <c r="J17" s="4" t="s">
        <v>23</v>
      </c>
      <c r="K17" s="4"/>
      <c r="L17" s="4"/>
      <c r="M17" s="4"/>
      <c r="N17" s="4"/>
      <c r="O17" s="4"/>
    </row>
    <row r="18" customFormat="false" ht="15" hidden="false" customHeight="false" outlineLevel="0" collapsed="false">
      <c r="A18" s="16" t="s">
        <v>394</v>
      </c>
      <c r="B18" s="18" t="s">
        <v>74</v>
      </c>
      <c r="C18" s="4" t="s">
        <v>75</v>
      </c>
      <c r="D18" s="4" t="s">
        <v>367</v>
      </c>
      <c r="E18" s="4" t="s">
        <v>110</v>
      </c>
      <c r="F18" s="4" t="s">
        <v>395</v>
      </c>
      <c r="G18" s="4" t="s">
        <v>110</v>
      </c>
      <c r="H18" s="4" t="s">
        <v>396</v>
      </c>
      <c r="I18" s="4"/>
      <c r="J18" s="4" t="s">
        <v>23</v>
      </c>
      <c r="K18" s="4"/>
      <c r="L18" s="4"/>
      <c r="M18" s="4"/>
      <c r="N18" s="4"/>
      <c r="O18" s="4"/>
    </row>
    <row r="19" customFormat="false" ht="23.85" hidden="false" customHeight="false" outlineLevel="0" collapsed="false">
      <c r="A19" s="16" t="s">
        <v>397</v>
      </c>
      <c r="B19" s="17" t="s">
        <v>66</v>
      </c>
      <c r="C19" s="4" t="s">
        <v>67</v>
      </c>
      <c r="D19" s="4" t="s">
        <v>367</v>
      </c>
      <c r="E19" s="4" t="s">
        <v>398</v>
      </c>
      <c r="F19" s="4" t="s">
        <v>399</v>
      </c>
      <c r="G19" s="4" t="s">
        <v>110</v>
      </c>
      <c r="H19" s="4" t="s">
        <v>400</v>
      </c>
      <c r="I19" s="4"/>
      <c r="J19" s="4" t="s">
        <v>23</v>
      </c>
      <c r="K19" s="4"/>
      <c r="L19" s="4"/>
      <c r="M19" s="4"/>
      <c r="N19" s="4"/>
      <c r="O19" s="4"/>
    </row>
    <row r="20" customFormat="false" ht="23.85" hidden="false" customHeight="false" outlineLevel="0" collapsed="false">
      <c r="A20" s="16" t="s">
        <v>401</v>
      </c>
      <c r="B20" s="17" t="s">
        <v>66</v>
      </c>
      <c r="C20" s="4" t="s">
        <v>113</v>
      </c>
      <c r="D20" s="4" t="s">
        <v>367</v>
      </c>
      <c r="E20" s="4" t="s">
        <v>402</v>
      </c>
      <c r="F20" s="4" t="s">
        <v>403</v>
      </c>
      <c r="G20" s="4" t="s">
        <v>110</v>
      </c>
      <c r="H20" s="4" t="s">
        <v>404</v>
      </c>
      <c r="I20" s="4"/>
      <c r="J20" s="4" t="s">
        <v>23</v>
      </c>
      <c r="K20" s="4"/>
      <c r="L20" s="4"/>
      <c r="M20" s="4"/>
      <c r="N20" s="4"/>
      <c r="O20" s="4"/>
    </row>
    <row r="21" customFormat="false" ht="15" hidden="false" customHeight="false" outlineLevel="0" collapsed="false">
      <c r="A21" s="16" t="s">
        <v>405</v>
      </c>
      <c r="B21" s="17" t="s">
        <v>66</v>
      </c>
      <c r="C21" s="4" t="s">
        <v>75</v>
      </c>
      <c r="D21" s="4" t="s">
        <v>367</v>
      </c>
      <c r="E21" s="4" t="s">
        <v>402</v>
      </c>
      <c r="F21" s="4" t="s">
        <v>406</v>
      </c>
      <c r="G21" s="4" t="s">
        <v>110</v>
      </c>
      <c r="H21" s="4" t="s">
        <v>407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408</v>
      </c>
      <c r="B22" s="18" t="s">
        <v>74</v>
      </c>
      <c r="C22" s="4" t="s">
        <v>67</v>
      </c>
      <c r="D22" s="4" t="s">
        <v>367</v>
      </c>
      <c r="E22" s="4" t="s">
        <v>402</v>
      </c>
      <c r="F22" s="4" t="s">
        <v>409</v>
      </c>
      <c r="G22" s="4" t="s">
        <v>110</v>
      </c>
      <c r="H22" s="4" t="s">
        <v>410</v>
      </c>
      <c r="I22" s="4"/>
      <c r="J22" s="4" t="s">
        <v>23</v>
      </c>
      <c r="K22" s="4"/>
      <c r="L22" s="4"/>
      <c r="M22" s="4"/>
      <c r="N22" s="4"/>
      <c r="O22" s="4"/>
    </row>
    <row r="23" customFormat="false" ht="23.85" hidden="false" customHeight="false" outlineLevel="0" collapsed="false">
      <c r="A23" s="16" t="s">
        <v>411</v>
      </c>
      <c r="B23" s="19" t="s">
        <v>86</v>
      </c>
      <c r="C23" s="4" t="s">
        <v>67</v>
      </c>
      <c r="D23" s="4" t="s">
        <v>367</v>
      </c>
      <c r="E23" s="4" t="s">
        <v>412</v>
      </c>
      <c r="F23" s="4" t="s">
        <v>413</v>
      </c>
      <c r="G23" s="4" t="s">
        <v>110</v>
      </c>
      <c r="H23" s="4" t="s">
        <v>414</v>
      </c>
      <c r="I23" s="4"/>
      <c r="J23" s="4" t="s">
        <v>23</v>
      </c>
      <c r="K23" s="4"/>
      <c r="L23" s="4"/>
      <c r="M23" s="4"/>
      <c r="N23" s="4"/>
      <c r="O23" s="4"/>
    </row>
    <row r="24" customFormat="false" ht="35.05" hidden="false" customHeight="false" outlineLevel="0" collapsed="false">
      <c r="A24" s="16" t="s">
        <v>415</v>
      </c>
      <c r="B24" s="17" t="s">
        <v>66</v>
      </c>
      <c r="C24" s="4" t="s">
        <v>67</v>
      </c>
      <c r="D24" s="4" t="s">
        <v>416</v>
      </c>
      <c r="E24" s="4" t="s">
        <v>417</v>
      </c>
      <c r="F24" s="4" t="s">
        <v>418</v>
      </c>
      <c r="G24" s="4" t="s">
        <v>419</v>
      </c>
      <c r="H24" s="4" t="s">
        <v>420</v>
      </c>
      <c r="I24" s="4"/>
      <c r="J24" s="4" t="s">
        <v>23</v>
      </c>
      <c r="K24" s="4"/>
      <c r="L24" s="4"/>
      <c r="M24" s="4"/>
      <c r="N24" s="4"/>
      <c r="O24" s="4"/>
    </row>
    <row r="25" customFormat="false" ht="23.85" hidden="false" customHeight="false" outlineLevel="0" collapsed="false">
      <c r="A25" s="16" t="s">
        <v>421</v>
      </c>
      <c r="B25" s="17" t="s">
        <v>66</v>
      </c>
      <c r="C25" s="4" t="s">
        <v>67</v>
      </c>
      <c r="D25" s="4" t="s">
        <v>416</v>
      </c>
      <c r="E25" s="4" t="s">
        <v>422</v>
      </c>
      <c r="F25" s="4" t="s">
        <v>423</v>
      </c>
      <c r="G25" s="4" t="s">
        <v>110</v>
      </c>
      <c r="H25" s="4" t="s">
        <v>424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425</v>
      </c>
      <c r="B26" s="17" t="s">
        <v>66</v>
      </c>
      <c r="C26" s="4" t="s">
        <v>75</v>
      </c>
      <c r="D26" s="4" t="s">
        <v>416</v>
      </c>
      <c r="E26" s="4" t="s">
        <v>426</v>
      </c>
      <c r="F26" s="4" t="s">
        <v>427</v>
      </c>
      <c r="G26" s="4" t="s">
        <v>110</v>
      </c>
      <c r="H26" s="4" t="s">
        <v>428</v>
      </c>
      <c r="I26" s="4"/>
      <c r="J26" s="4" t="s">
        <v>23</v>
      </c>
      <c r="K26" s="4"/>
      <c r="L26" s="4"/>
      <c r="M26" s="4"/>
      <c r="N26" s="4"/>
      <c r="O26" s="4"/>
    </row>
    <row r="27" customFormat="false" ht="23.85" hidden="false" customHeight="false" outlineLevel="0" collapsed="false">
      <c r="A27" s="16" t="s">
        <v>429</v>
      </c>
      <c r="B27" s="18" t="s">
        <v>74</v>
      </c>
      <c r="C27" s="4" t="s">
        <v>67</v>
      </c>
      <c r="D27" s="4" t="s">
        <v>416</v>
      </c>
      <c r="E27" s="4" t="s">
        <v>430</v>
      </c>
      <c r="F27" s="4" t="s">
        <v>431</v>
      </c>
      <c r="G27" s="4" t="s">
        <v>110</v>
      </c>
      <c r="H27" s="4" t="s">
        <v>432</v>
      </c>
      <c r="I27" s="4"/>
      <c r="J27" s="4" t="s">
        <v>23</v>
      </c>
      <c r="K27" s="4"/>
      <c r="L27" s="4"/>
      <c r="M27" s="4"/>
      <c r="N27" s="4"/>
      <c r="O27" s="4"/>
    </row>
    <row r="28" customFormat="false" ht="15" hidden="false" customHeight="false" outlineLevel="0" collapsed="false">
      <c r="A28" s="16" t="s">
        <v>433</v>
      </c>
      <c r="B28" s="18" t="s">
        <v>74</v>
      </c>
      <c r="C28" s="4" t="s">
        <v>67</v>
      </c>
      <c r="D28" s="4" t="s">
        <v>416</v>
      </c>
      <c r="E28" s="4" t="s">
        <v>434</v>
      </c>
      <c r="F28" s="4" t="s">
        <v>435</v>
      </c>
      <c r="G28" s="4" t="s">
        <v>110</v>
      </c>
      <c r="H28" s="4" t="s">
        <v>436</v>
      </c>
      <c r="I28" s="4"/>
      <c r="J28" s="4" t="s">
        <v>23</v>
      </c>
      <c r="K28" s="4"/>
      <c r="L28" s="4"/>
      <c r="M28" s="4"/>
      <c r="N28" s="4"/>
      <c r="O28" s="4"/>
    </row>
    <row r="29" customFormat="false" ht="23.85" hidden="false" customHeight="false" outlineLevel="0" collapsed="false">
      <c r="A29" s="16" t="s">
        <v>437</v>
      </c>
      <c r="B29" s="17" t="s">
        <v>66</v>
      </c>
      <c r="C29" s="4" t="s">
        <v>113</v>
      </c>
      <c r="D29" s="4" t="s">
        <v>416</v>
      </c>
      <c r="E29" s="4" t="s">
        <v>438</v>
      </c>
      <c r="F29" s="4" t="s">
        <v>439</v>
      </c>
      <c r="G29" s="4" t="s">
        <v>110</v>
      </c>
      <c r="H29" s="4" t="s">
        <v>440</v>
      </c>
      <c r="I29" s="4"/>
      <c r="J29" s="4" t="s">
        <v>23</v>
      </c>
      <c r="K29" s="4"/>
      <c r="L29" s="4"/>
      <c r="M29" s="4"/>
      <c r="N29" s="4"/>
      <c r="O29" s="4"/>
    </row>
    <row r="30" customFormat="false" ht="23.85" hidden="false" customHeight="false" outlineLevel="0" collapsed="false">
      <c r="A30" s="16" t="s">
        <v>441</v>
      </c>
      <c r="B30" s="19" t="s">
        <v>86</v>
      </c>
      <c r="C30" s="4" t="s">
        <v>67</v>
      </c>
      <c r="D30" s="4" t="s">
        <v>416</v>
      </c>
      <c r="E30" s="4" t="s">
        <v>442</v>
      </c>
      <c r="F30" s="4" t="s">
        <v>443</v>
      </c>
      <c r="G30" s="4" t="s">
        <v>110</v>
      </c>
      <c r="H30" s="4" t="s">
        <v>444</v>
      </c>
      <c r="I30" s="4"/>
      <c r="J30" s="4" t="s">
        <v>23</v>
      </c>
      <c r="K30" s="4"/>
      <c r="L30" s="4"/>
      <c r="M30" s="4"/>
      <c r="N30" s="4"/>
      <c r="O30" s="4"/>
    </row>
    <row r="31" customFormat="false" ht="15" hidden="false" customHeight="false" outlineLevel="0" collapsed="false">
      <c r="A31" s="16" t="s">
        <v>445</v>
      </c>
      <c r="B31" s="18" t="s">
        <v>74</v>
      </c>
      <c r="C31" s="4" t="s">
        <v>75</v>
      </c>
      <c r="D31" s="4" t="s">
        <v>416</v>
      </c>
      <c r="E31" s="4" t="s">
        <v>110</v>
      </c>
      <c r="F31" s="4" t="s">
        <v>446</v>
      </c>
      <c r="G31" s="4" t="s">
        <v>110</v>
      </c>
      <c r="H31" s="4" t="s">
        <v>264</v>
      </c>
      <c r="I31" s="4"/>
      <c r="J31" s="4" t="s">
        <v>23</v>
      </c>
      <c r="K31" s="4"/>
      <c r="L31" s="4"/>
      <c r="M31" s="4"/>
      <c r="N31" s="4"/>
      <c r="O31" s="4"/>
    </row>
    <row r="32" customFormat="false" ht="23.85" hidden="false" customHeight="false" outlineLevel="0" collapsed="false">
      <c r="A32" s="16" t="s">
        <v>447</v>
      </c>
      <c r="B32" s="17" t="s">
        <v>66</v>
      </c>
      <c r="C32" s="4" t="s">
        <v>67</v>
      </c>
      <c r="D32" s="4" t="s">
        <v>448</v>
      </c>
      <c r="E32" s="4" t="s">
        <v>449</v>
      </c>
      <c r="F32" s="4" t="s">
        <v>450</v>
      </c>
      <c r="G32" s="4" t="s">
        <v>110</v>
      </c>
      <c r="H32" s="4" t="s">
        <v>451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452</v>
      </c>
      <c r="B33" s="18" t="s">
        <v>74</v>
      </c>
      <c r="C33" s="4" t="s">
        <v>75</v>
      </c>
      <c r="D33" s="4" t="s">
        <v>448</v>
      </c>
      <c r="E33" s="4" t="s">
        <v>453</v>
      </c>
      <c r="F33" s="4" t="s">
        <v>454</v>
      </c>
      <c r="G33" s="4" t="s">
        <v>110</v>
      </c>
      <c r="H33" s="4" t="s">
        <v>455</v>
      </c>
      <c r="I33" s="4"/>
      <c r="J33" s="4" t="s">
        <v>23</v>
      </c>
      <c r="K33" s="4"/>
      <c r="L33" s="4"/>
      <c r="M33" s="4"/>
      <c r="N33" s="4"/>
      <c r="O33" s="4"/>
    </row>
    <row r="34" customFormat="false" ht="15" hidden="false" customHeight="false" outlineLevel="0" collapsed="false">
      <c r="A34" s="16" t="s">
        <v>456</v>
      </c>
      <c r="B34" s="18" t="s">
        <v>74</v>
      </c>
      <c r="C34" s="4" t="s">
        <v>67</v>
      </c>
      <c r="D34" s="4" t="s">
        <v>457</v>
      </c>
      <c r="E34" s="4" t="s">
        <v>458</v>
      </c>
      <c r="F34" s="4" t="s">
        <v>459</v>
      </c>
      <c r="G34" s="4" t="s">
        <v>110</v>
      </c>
      <c r="H34" s="4" t="s">
        <v>460</v>
      </c>
      <c r="I34" s="4"/>
      <c r="J34" s="4" t="s">
        <v>23</v>
      </c>
      <c r="K34" s="4"/>
      <c r="L34" s="4"/>
      <c r="M34" s="4"/>
      <c r="N34" s="4"/>
      <c r="O34" s="4"/>
    </row>
    <row r="35" customFormat="false" ht="15" hidden="false" customHeight="false" outlineLevel="0" collapsed="false">
      <c r="A35" s="16" t="s">
        <v>461</v>
      </c>
      <c r="B35" s="19" t="s">
        <v>86</v>
      </c>
      <c r="C35" s="4" t="s">
        <v>67</v>
      </c>
      <c r="D35" s="4" t="s">
        <v>448</v>
      </c>
      <c r="E35" s="4" t="s">
        <v>462</v>
      </c>
      <c r="F35" s="4" t="s">
        <v>463</v>
      </c>
      <c r="G35" s="4" t="s">
        <v>110</v>
      </c>
      <c r="H35" s="4" t="s">
        <v>464</v>
      </c>
      <c r="I35" s="4"/>
      <c r="J35" s="4" t="s">
        <v>23</v>
      </c>
      <c r="K35" s="4"/>
      <c r="L35" s="4"/>
      <c r="M35" s="4"/>
      <c r="N35" s="4"/>
      <c r="O35" s="4"/>
    </row>
    <row r="36" customFormat="false" ht="15" hidden="false" customHeight="false" outlineLevel="0" collapsed="false">
      <c r="A36" s="16" t="s">
        <v>465</v>
      </c>
      <c r="B36" s="18" t="s">
        <v>74</v>
      </c>
      <c r="C36" s="4" t="s">
        <v>75</v>
      </c>
      <c r="D36" s="4" t="s">
        <v>448</v>
      </c>
      <c r="E36" s="4" t="s">
        <v>466</v>
      </c>
      <c r="F36" s="4" t="s">
        <v>467</v>
      </c>
      <c r="G36" s="4" t="s">
        <v>110</v>
      </c>
      <c r="H36" s="4" t="s">
        <v>264</v>
      </c>
      <c r="I36" s="4"/>
      <c r="J36" s="4" t="s">
        <v>23</v>
      </c>
      <c r="K36" s="4"/>
      <c r="L36" s="4"/>
      <c r="M36" s="4"/>
      <c r="N36" s="4"/>
      <c r="O36" s="4"/>
    </row>
    <row r="37" customFormat="false" ht="15" hidden="false" customHeight="false" outlineLevel="0" collapsed="false">
      <c r="A37" s="16" t="s">
        <v>468</v>
      </c>
      <c r="B37" s="18" t="s">
        <v>74</v>
      </c>
      <c r="C37" s="4" t="s">
        <v>113</v>
      </c>
      <c r="D37" s="4" t="s">
        <v>448</v>
      </c>
      <c r="E37" s="4" t="s">
        <v>469</v>
      </c>
      <c r="F37" s="4" t="s">
        <v>470</v>
      </c>
      <c r="G37" s="4" t="s">
        <v>110</v>
      </c>
      <c r="H37" s="4" t="s">
        <v>471</v>
      </c>
      <c r="I37" s="4"/>
      <c r="J37" s="4" t="s">
        <v>23</v>
      </c>
      <c r="K37" s="4"/>
      <c r="L37" s="4"/>
      <c r="M37" s="4"/>
      <c r="N37" s="4"/>
      <c r="O37" s="4"/>
    </row>
    <row r="38" customFormat="false" ht="23.85" hidden="false" customHeight="false" outlineLevel="0" collapsed="false">
      <c r="A38" s="16" t="s">
        <v>472</v>
      </c>
      <c r="B38" s="17" t="s">
        <v>66</v>
      </c>
      <c r="C38" s="4" t="s">
        <v>113</v>
      </c>
      <c r="D38" s="4" t="s">
        <v>473</v>
      </c>
      <c r="E38" s="4" t="s">
        <v>474</v>
      </c>
      <c r="F38" s="4" t="s">
        <v>475</v>
      </c>
      <c r="G38" s="4" t="s">
        <v>110</v>
      </c>
      <c r="H38" s="4" t="s">
        <v>476</v>
      </c>
      <c r="I38" s="4"/>
      <c r="J38" s="4" t="s">
        <v>23</v>
      </c>
      <c r="K38" s="4"/>
      <c r="L38" s="4"/>
      <c r="M38" s="4"/>
      <c r="N38" s="4"/>
      <c r="O38" s="4"/>
    </row>
    <row r="39" customFormat="false" ht="23.85" hidden="false" customHeight="false" outlineLevel="0" collapsed="false">
      <c r="A39" s="16" t="s">
        <v>477</v>
      </c>
      <c r="B39" s="17" t="s">
        <v>66</v>
      </c>
      <c r="C39" s="4" t="s">
        <v>113</v>
      </c>
      <c r="D39" s="4" t="s">
        <v>473</v>
      </c>
      <c r="E39" s="4" t="s">
        <v>110</v>
      </c>
      <c r="F39" s="4" t="s">
        <v>478</v>
      </c>
      <c r="G39" s="4" t="s">
        <v>110</v>
      </c>
      <c r="H39" s="4" t="s">
        <v>479</v>
      </c>
      <c r="I39" s="4"/>
      <c r="J39" s="4" t="s">
        <v>23</v>
      </c>
      <c r="K39" s="4"/>
      <c r="L39" s="4"/>
      <c r="M39" s="4"/>
      <c r="N39" s="4"/>
      <c r="O39" s="4"/>
    </row>
    <row r="40" customFormat="false" ht="23.85" hidden="false" customHeight="false" outlineLevel="0" collapsed="false">
      <c r="A40" s="16" t="s">
        <v>480</v>
      </c>
      <c r="B40" s="17" t="s">
        <v>66</v>
      </c>
      <c r="C40" s="4" t="s">
        <v>113</v>
      </c>
      <c r="D40" s="4" t="s">
        <v>481</v>
      </c>
      <c r="E40" s="4" t="s">
        <v>482</v>
      </c>
      <c r="F40" s="4" t="s">
        <v>483</v>
      </c>
      <c r="G40" s="4" t="s">
        <v>110</v>
      </c>
      <c r="H40" s="4" t="s">
        <v>484</v>
      </c>
      <c r="I40" s="4"/>
      <c r="J40" s="4" t="s">
        <v>23</v>
      </c>
      <c r="K40" s="4"/>
      <c r="L40" s="4"/>
      <c r="M40" s="4"/>
      <c r="N40" s="4"/>
      <c r="O40" s="4"/>
    </row>
    <row r="41" customFormat="false" ht="15" hidden="false" customHeight="false" outlineLevel="0" collapsed="false">
      <c r="A41" s="16" t="s">
        <v>485</v>
      </c>
      <c r="B41" s="17" t="s">
        <v>66</v>
      </c>
      <c r="C41" s="4" t="s">
        <v>113</v>
      </c>
      <c r="D41" s="4" t="s">
        <v>481</v>
      </c>
      <c r="E41" s="4" t="s">
        <v>486</v>
      </c>
      <c r="F41" s="4" t="s">
        <v>487</v>
      </c>
      <c r="G41" s="4" t="s">
        <v>110</v>
      </c>
      <c r="H41" s="4" t="s">
        <v>488</v>
      </c>
      <c r="I41" s="4"/>
      <c r="J41" s="4" t="s">
        <v>23</v>
      </c>
      <c r="K41" s="4"/>
      <c r="L41" s="4"/>
      <c r="M41" s="4"/>
      <c r="N41" s="4"/>
      <c r="O41" s="4"/>
    </row>
    <row r="42" customFormat="false" ht="15" hidden="false" customHeight="false" outlineLevel="0" collapsed="false">
      <c r="A42" s="16" t="s">
        <v>489</v>
      </c>
      <c r="B42" s="19" t="s">
        <v>86</v>
      </c>
      <c r="C42" s="4" t="s">
        <v>67</v>
      </c>
      <c r="D42" s="4" t="s">
        <v>473</v>
      </c>
      <c r="E42" s="4" t="s">
        <v>110</v>
      </c>
      <c r="F42" s="4" t="s">
        <v>490</v>
      </c>
      <c r="G42" s="4" t="s">
        <v>110</v>
      </c>
      <c r="H42" s="4" t="s">
        <v>491</v>
      </c>
      <c r="I42" s="4"/>
      <c r="J42" s="4" t="s">
        <v>23</v>
      </c>
      <c r="K42" s="4"/>
      <c r="L42" s="4"/>
      <c r="M42" s="4"/>
      <c r="N42" s="4"/>
      <c r="O42" s="4"/>
    </row>
    <row r="43" customFormat="false" ht="23.85" hidden="false" customHeight="false" outlineLevel="0" collapsed="false">
      <c r="A43" s="16" t="s">
        <v>492</v>
      </c>
      <c r="B43" s="17" t="s">
        <v>66</v>
      </c>
      <c r="C43" s="4" t="s">
        <v>113</v>
      </c>
      <c r="D43" s="4" t="s">
        <v>493</v>
      </c>
      <c r="E43" s="4" t="s">
        <v>402</v>
      </c>
      <c r="F43" s="4" t="s">
        <v>494</v>
      </c>
      <c r="G43" s="4" t="s">
        <v>110</v>
      </c>
      <c r="H43" s="4" t="s">
        <v>495</v>
      </c>
      <c r="I43" s="4"/>
      <c r="J43" s="4" t="s">
        <v>23</v>
      </c>
      <c r="K43" s="4"/>
      <c r="L43" s="4"/>
      <c r="M43" s="4"/>
      <c r="N43" s="4"/>
      <c r="O43" s="4"/>
    </row>
    <row r="44" customFormat="false" ht="15" hidden="false" customHeight="false" outlineLevel="0" collapsed="false">
      <c r="A44" s="16" t="s">
        <v>496</v>
      </c>
      <c r="B44" s="17" t="s">
        <v>66</v>
      </c>
      <c r="C44" s="4" t="s">
        <v>113</v>
      </c>
      <c r="D44" s="4" t="s">
        <v>493</v>
      </c>
      <c r="E44" s="4" t="s">
        <v>438</v>
      </c>
      <c r="F44" s="4" t="s">
        <v>497</v>
      </c>
      <c r="G44" s="4" t="s">
        <v>110</v>
      </c>
      <c r="H44" s="4" t="s">
        <v>498</v>
      </c>
      <c r="I44" s="4"/>
      <c r="J44" s="4" t="s">
        <v>23</v>
      </c>
      <c r="K44" s="4"/>
      <c r="L44" s="4"/>
      <c r="M44" s="4"/>
      <c r="N44" s="4"/>
      <c r="O44" s="4"/>
    </row>
    <row r="45" customFormat="false" ht="15" hidden="false" customHeight="false" outlineLevel="0" collapsed="false">
      <c r="A45" s="16" t="s">
        <v>499</v>
      </c>
      <c r="B45" s="17" t="s">
        <v>66</v>
      </c>
      <c r="C45" s="4" t="s">
        <v>113</v>
      </c>
      <c r="D45" s="4" t="s">
        <v>493</v>
      </c>
      <c r="E45" s="4" t="s">
        <v>469</v>
      </c>
      <c r="F45" s="4" t="s">
        <v>497</v>
      </c>
      <c r="G45" s="4" t="s">
        <v>110</v>
      </c>
      <c r="H45" s="4" t="s">
        <v>500</v>
      </c>
      <c r="I45" s="4"/>
      <c r="J45" s="4" t="s">
        <v>23</v>
      </c>
      <c r="K45" s="4"/>
      <c r="L45" s="4"/>
      <c r="M45" s="4"/>
      <c r="N45" s="4"/>
      <c r="O45" s="4"/>
    </row>
    <row r="46" customFormat="false" ht="23.85" hidden="false" customHeight="false" outlineLevel="0" collapsed="false">
      <c r="A46" s="16" t="s">
        <v>501</v>
      </c>
      <c r="B46" s="17" t="s">
        <v>66</v>
      </c>
      <c r="C46" s="4" t="s">
        <v>113</v>
      </c>
      <c r="D46" s="4" t="s">
        <v>502</v>
      </c>
      <c r="E46" s="4" t="s">
        <v>503</v>
      </c>
      <c r="F46" s="4" t="s">
        <v>504</v>
      </c>
      <c r="G46" s="4" t="s">
        <v>110</v>
      </c>
      <c r="H46" s="4" t="s">
        <v>505</v>
      </c>
      <c r="I46" s="4"/>
      <c r="J46" s="4" t="s">
        <v>23</v>
      </c>
      <c r="K46" s="4"/>
      <c r="L46" s="4"/>
      <c r="M46" s="4"/>
      <c r="N46" s="4"/>
      <c r="O46" s="4"/>
    </row>
    <row r="47" customFormat="false" ht="23.85" hidden="false" customHeight="false" outlineLevel="0" collapsed="false">
      <c r="A47" s="16" t="s">
        <v>506</v>
      </c>
      <c r="B47" s="18" t="s">
        <v>74</v>
      </c>
      <c r="C47" s="4" t="s">
        <v>113</v>
      </c>
      <c r="D47" s="4" t="s">
        <v>502</v>
      </c>
      <c r="E47" s="4" t="s">
        <v>507</v>
      </c>
      <c r="F47" s="4" t="s">
        <v>508</v>
      </c>
      <c r="G47" s="4" t="s">
        <v>110</v>
      </c>
      <c r="H47" s="4" t="s">
        <v>509</v>
      </c>
      <c r="I47" s="4"/>
      <c r="J47" s="4" t="s">
        <v>23</v>
      </c>
      <c r="K47" s="4"/>
      <c r="L47" s="4"/>
      <c r="M47" s="4"/>
      <c r="N47" s="4"/>
      <c r="O47" s="4"/>
    </row>
    <row r="48" customFormat="false" ht="23.85" hidden="false" customHeight="false" outlineLevel="0" collapsed="false">
      <c r="A48" s="16" t="s">
        <v>510</v>
      </c>
      <c r="B48" s="18" t="s">
        <v>74</v>
      </c>
      <c r="C48" s="4" t="s">
        <v>113</v>
      </c>
      <c r="D48" s="4" t="s">
        <v>502</v>
      </c>
      <c r="E48" s="4" t="s">
        <v>511</v>
      </c>
      <c r="F48" s="4" t="s">
        <v>512</v>
      </c>
      <c r="G48" s="4" t="s">
        <v>110</v>
      </c>
      <c r="H48" s="4" t="s">
        <v>513</v>
      </c>
      <c r="I48" s="4"/>
      <c r="J48" s="4" t="s">
        <v>23</v>
      </c>
      <c r="K48" s="4"/>
      <c r="L48" s="4"/>
      <c r="M48" s="4"/>
      <c r="N48" s="4"/>
      <c r="O48" s="4"/>
    </row>
  </sheetData>
  <autoFilter ref="A3:O48"/>
  <mergeCells count="2">
    <mergeCell ref="A1:O1"/>
    <mergeCell ref="A2:O2"/>
  </mergeCells>
  <conditionalFormatting sqref="J4:J48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48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48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48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48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514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515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35.05" hidden="false" customHeight="false" outlineLevel="0" collapsed="false">
      <c r="A4" s="16" t="s">
        <v>516</v>
      </c>
      <c r="B4" s="17" t="s">
        <v>66</v>
      </c>
      <c r="C4" s="4" t="s">
        <v>67</v>
      </c>
      <c r="D4" s="4" t="s">
        <v>517</v>
      </c>
      <c r="E4" s="4" t="s">
        <v>228</v>
      </c>
      <c r="F4" s="4" t="s">
        <v>518</v>
      </c>
      <c r="G4" s="4" t="s">
        <v>519</v>
      </c>
      <c r="H4" s="4" t="s">
        <v>520</v>
      </c>
      <c r="I4" s="4"/>
      <c r="J4" s="4" t="s">
        <v>23</v>
      </c>
      <c r="K4" s="4"/>
      <c r="L4" s="4"/>
      <c r="M4" s="4"/>
      <c r="N4" s="4"/>
      <c r="O4" s="4"/>
    </row>
    <row r="5" customFormat="false" ht="15" hidden="false" customHeight="false" outlineLevel="0" collapsed="false">
      <c r="A5" s="16" t="s">
        <v>521</v>
      </c>
      <c r="B5" s="18" t="s">
        <v>74</v>
      </c>
      <c r="C5" s="4" t="s">
        <v>75</v>
      </c>
      <c r="D5" s="4" t="s">
        <v>517</v>
      </c>
      <c r="E5" s="4" t="s">
        <v>522</v>
      </c>
      <c r="F5" s="4" t="s">
        <v>346</v>
      </c>
      <c r="G5" s="4" t="s">
        <v>523</v>
      </c>
      <c r="H5" s="4" t="s">
        <v>264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524</v>
      </c>
      <c r="B6" s="18" t="s">
        <v>74</v>
      </c>
      <c r="C6" s="4" t="s">
        <v>75</v>
      </c>
      <c r="D6" s="4" t="s">
        <v>517</v>
      </c>
      <c r="E6" s="4" t="s">
        <v>525</v>
      </c>
      <c r="F6" s="4" t="s">
        <v>526</v>
      </c>
      <c r="G6" s="4" t="s">
        <v>110</v>
      </c>
      <c r="H6" s="4" t="s">
        <v>527</v>
      </c>
      <c r="I6" s="4"/>
      <c r="J6" s="4" t="s">
        <v>23</v>
      </c>
      <c r="K6" s="4"/>
      <c r="L6" s="4"/>
      <c r="M6" s="4"/>
      <c r="N6" s="4"/>
      <c r="O6" s="4"/>
    </row>
    <row r="7" customFormat="false" ht="15" hidden="false" customHeight="false" outlineLevel="0" collapsed="false">
      <c r="A7" s="16" t="s">
        <v>528</v>
      </c>
      <c r="B7" s="19" t="s">
        <v>86</v>
      </c>
      <c r="C7" s="4" t="s">
        <v>67</v>
      </c>
      <c r="D7" s="4" t="s">
        <v>517</v>
      </c>
      <c r="E7" s="4" t="s">
        <v>110</v>
      </c>
      <c r="F7" s="4" t="s">
        <v>529</v>
      </c>
      <c r="G7" s="4" t="s">
        <v>110</v>
      </c>
      <c r="H7" s="4" t="s">
        <v>530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531</v>
      </c>
      <c r="B8" s="18" t="s">
        <v>74</v>
      </c>
      <c r="C8" s="4" t="s">
        <v>92</v>
      </c>
      <c r="D8" s="4" t="s">
        <v>517</v>
      </c>
      <c r="E8" s="4" t="s">
        <v>532</v>
      </c>
      <c r="F8" s="4" t="s">
        <v>533</v>
      </c>
      <c r="G8" s="4" t="s">
        <v>110</v>
      </c>
      <c r="H8" s="4" t="s">
        <v>26</v>
      </c>
      <c r="I8" s="4"/>
      <c r="J8" s="4" t="s">
        <v>23</v>
      </c>
      <c r="K8" s="4"/>
      <c r="L8" s="4"/>
      <c r="M8" s="4"/>
      <c r="N8" s="4"/>
      <c r="O8" s="4"/>
    </row>
    <row r="9" customFormat="false" ht="15" hidden="false" customHeight="false" outlineLevel="0" collapsed="false">
      <c r="A9" s="16" t="s">
        <v>534</v>
      </c>
      <c r="B9" s="19" t="s">
        <v>86</v>
      </c>
      <c r="C9" s="4" t="s">
        <v>67</v>
      </c>
      <c r="D9" s="4" t="s">
        <v>517</v>
      </c>
      <c r="E9" s="4" t="s">
        <v>535</v>
      </c>
      <c r="F9" s="4" t="s">
        <v>220</v>
      </c>
      <c r="G9" s="4" t="s">
        <v>110</v>
      </c>
      <c r="H9" s="4" t="s">
        <v>365</v>
      </c>
      <c r="I9" s="4"/>
      <c r="J9" s="4" t="s">
        <v>23</v>
      </c>
      <c r="K9" s="4"/>
      <c r="L9" s="4"/>
      <c r="M9" s="4"/>
      <c r="N9" s="4"/>
      <c r="O9" s="4"/>
    </row>
    <row r="10" customFormat="false" ht="35.05" hidden="false" customHeight="false" outlineLevel="0" collapsed="false">
      <c r="A10" s="16" t="s">
        <v>536</v>
      </c>
      <c r="B10" s="17" t="s">
        <v>66</v>
      </c>
      <c r="C10" s="4" t="s">
        <v>67</v>
      </c>
      <c r="D10" s="4" t="s">
        <v>537</v>
      </c>
      <c r="E10" s="4" t="s">
        <v>538</v>
      </c>
      <c r="F10" s="4" t="s">
        <v>539</v>
      </c>
      <c r="G10" s="4" t="s">
        <v>540</v>
      </c>
      <c r="H10" s="4" t="s">
        <v>541</v>
      </c>
      <c r="I10" s="4"/>
      <c r="J10" s="4" t="s">
        <v>23</v>
      </c>
      <c r="K10" s="4"/>
      <c r="L10" s="4"/>
      <c r="M10" s="4"/>
      <c r="N10" s="4"/>
      <c r="O10" s="4"/>
    </row>
    <row r="11" customFormat="false" ht="23.85" hidden="false" customHeight="false" outlineLevel="0" collapsed="false">
      <c r="A11" s="16" t="s">
        <v>542</v>
      </c>
      <c r="B11" s="17" t="s">
        <v>66</v>
      </c>
      <c r="C11" s="4" t="s">
        <v>113</v>
      </c>
      <c r="D11" s="4" t="s">
        <v>537</v>
      </c>
      <c r="E11" s="4" t="s">
        <v>543</v>
      </c>
      <c r="F11" s="4" t="s">
        <v>544</v>
      </c>
      <c r="G11" s="4" t="s">
        <v>110</v>
      </c>
      <c r="H11" s="4" t="s">
        <v>545</v>
      </c>
      <c r="I11" s="4"/>
      <c r="J11" s="4" t="s">
        <v>23</v>
      </c>
      <c r="K11" s="4"/>
      <c r="L11" s="4"/>
      <c r="M11" s="4"/>
      <c r="N11" s="4"/>
      <c r="O11" s="4"/>
    </row>
    <row r="12" customFormat="false" ht="15" hidden="false" customHeight="false" outlineLevel="0" collapsed="false">
      <c r="A12" s="16" t="s">
        <v>546</v>
      </c>
      <c r="B12" s="18" t="s">
        <v>74</v>
      </c>
      <c r="C12" s="4" t="s">
        <v>67</v>
      </c>
      <c r="D12" s="4" t="s">
        <v>537</v>
      </c>
      <c r="E12" s="4" t="s">
        <v>110</v>
      </c>
      <c r="F12" s="4" t="s">
        <v>547</v>
      </c>
      <c r="G12" s="4" t="s">
        <v>110</v>
      </c>
      <c r="H12" s="4" t="s">
        <v>548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549</v>
      </c>
      <c r="B13" s="18" t="s">
        <v>74</v>
      </c>
      <c r="C13" s="4" t="s">
        <v>75</v>
      </c>
      <c r="D13" s="4" t="s">
        <v>537</v>
      </c>
      <c r="E13" s="4" t="s">
        <v>110</v>
      </c>
      <c r="F13" s="4" t="s">
        <v>550</v>
      </c>
      <c r="G13" s="4" t="s">
        <v>110</v>
      </c>
      <c r="H13" s="4" t="s">
        <v>264</v>
      </c>
      <c r="I13" s="4"/>
      <c r="J13" s="4" t="s">
        <v>23</v>
      </c>
      <c r="K13" s="4"/>
      <c r="L13" s="4"/>
      <c r="M13" s="4"/>
      <c r="N13" s="4"/>
      <c r="O13" s="4"/>
    </row>
    <row r="14" customFormat="false" ht="15" hidden="false" customHeight="false" outlineLevel="0" collapsed="false">
      <c r="A14" s="16" t="s">
        <v>551</v>
      </c>
      <c r="B14" s="18" t="s">
        <v>74</v>
      </c>
      <c r="C14" s="4" t="s">
        <v>75</v>
      </c>
      <c r="D14" s="4" t="s">
        <v>537</v>
      </c>
      <c r="E14" s="4" t="s">
        <v>552</v>
      </c>
      <c r="F14" s="4" t="s">
        <v>553</v>
      </c>
      <c r="G14" s="4" t="s">
        <v>110</v>
      </c>
      <c r="H14" s="4" t="s">
        <v>264</v>
      </c>
      <c r="I14" s="4"/>
      <c r="J14" s="4" t="s">
        <v>23</v>
      </c>
      <c r="K14" s="4"/>
      <c r="L14" s="4"/>
      <c r="M14" s="4"/>
      <c r="N14" s="4"/>
      <c r="O14" s="4"/>
    </row>
    <row r="15" customFormat="false" ht="15" hidden="false" customHeight="false" outlineLevel="0" collapsed="false">
      <c r="A15" s="16" t="s">
        <v>554</v>
      </c>
      <c r="B15" s="17" t="s">
        <v>66</v>
      </c>
      <c r="C15" s="4" t="s">
        <v>75</v>
      </c>
      <c r="D15" s="4" t="s">
        <v>537</v>
      </c>
      <c r="E15" s="4" t="s">
        <v>555</v>
      </c>
      <c r="F15" s="4" t="s">
        <v>556</v>
      </c>
      <c r="G15" s="4" t="s">
        <v>110</v>
      </c>
      <c r="H15" s="4" t="s">
        <v>557</v>
      </c>
      <c r="I15" s="4"/>
      <c r="J15" s="4" t="s">
        <v>23</v>
      </c>
      <c r="K15" s="4"/>
      <c r="L15" s="4"/>
      <c r="M15" s="4"/>
      <c r="N15" s="4"/>
      <c r="O15" s="4"/>
    </row>
    <row r="16" customFormat="false" ht="15" hidden="false" customHeight="false" outlineLevel="0" collapsed="false">
      <c r="A16" s="16" t="s">
        <v>558</v>
      </c>
      <c r="B16" s="18" t="s">
        <v>74</v>
      </c>
      <c r="C16" s="4" t="s">
        <v>67</v>
      </c>
      <c r="D16" s="4" t="s">
        <v>537</v>
      </c>
      <c r="E16" s="4" t="s">
        <v>559</v>
      </c>
      <c r="F16" s="4" t="s">
        <v>560</v>
      </c>
      <c r="G16" s="4" t="s">
        <v>110</v>
      </c>
      <c r="H16" s="4" t="s">
        <v>561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562</v>
      </c>
      <c r="B17" s="18" t="s">
        <v>74</v>
      </c>
      <c r="C17" s="4" t="s">
        <v>67</v>
      </c>
      <c r="D17" s="4" t="s">
        <v>537</v>
      </c>
      <c r="E17" s="4" t="s">
        <v>110</v>
      </c>
      <c r="F17" s="4" t="s">
        <v>563</v>
      </c>
      <c r="G17" s="4" t="s">
        <v>110</v>
      </c>
      <c r="H17" s="4" t="s">
        <v>564</v>
      </c>
      <c r="I17" s="4"/>
      <c r="J17" s="4" t="s">
        <v>23</v>
      </c>
      <c r="K17" s="4"/>
      <c r="L17" s="4"/>
      <c r="M17" s="4"/>
      <c r="N17" s="4"/>
      <c r="O17" s="4"/>
    </row>
    <row r="18" customFormat="false" ht="15" hidden="false" customHeight="false" outlineLevel="0" collapsed="false">
      <c r="A18" s="16" t="s">
        <v>565</v>
      </c>
      <c r="B18" s="18" t="s">
        <v>74</v>
      </c>
      <c r="C18" s="4" t="s">
        <v>113</v>
      </c>
      <c r="D18" s="4" t="s">
        <v>537</v>
      </c>
      <c r="E18" s="4" t="s">
        <v>566</v>
      </c>
      <c r="F18" s="4" t="s">
        <v>567</v>
      </c>
      <c r="G18" s="4" t="s">
        <v>110</v>
      </c>
      <c r="H18" s="4" t="s">
        <v>568</v>
      </c>
      <c r="I18" s="4"/>
      <c r="J18" s="4" t="s">
        <v>23</v>
      </c>
      <c r="K18" s="4"/>
      <c r="L18" s="4"/>
      <c r="M18" s="4"/>
      <c r="N18" s="4"/>
      <c r="O18" s="4"/>
    </row>
    <row r="19" customFormat="false" ht="15" hidden="false" customHeight="false" outlineLevel="0" collapsed="false">
      <c r="A19" s="16" t="s">
        <v>569</v>
      </c>
      <c r="B19" s="19" t="s">
        <v>86</v>
      </c>
      <c r="C19" s="4" t="s">
        <v>67</v>
      </c>
      <c r="D19" s="4" t="s">
        <v>537</v>
      </c>
      <c r="E19" s="4" t="s">
        <v>555</v>
      </c>
      <c r="F19" s="4" t="s">
        <v>413</v>
      </c>
      <c r="G19" s="4" t="s">
        <v>110</v>
      </c>
      <c r="H19" s="4" t="s">
        <v>570</v>
      </c>
      <c r="I19" s="4"/>
      <c r="J19" s="4" t="s">
        <v>23</v>
      </c>
      <c r="K19" s="4"/>
      <c r="L19" s="4"/>
      <c r="M19" s="4"/>
      <c r="N19" s="4"/>
      <c r="O19" s="4"/>
    </row>
    <row r="20" customFormat="false" ht="23.85" hidden="false" customHeight="false" outlineLevel="0" collapsed="false">
      <c r="A20" s="16" t="s">
        <v>571</v>
      </c>
      <c r="B20" s="18" t="s">
        <v>74</v>
      </c>
      <c r="C20" s="4" t="s">
        <v>75</v>
      </c>
      <c r="D20" s="4" t="s">
        <v>537</v>
      </c>
      <c r="E20" s="4" t="s">
        <v>572</v>
      </c>
      <c r="F20" s="4" t="s">
        <v>573</v>
      </c>
      <c r="G20" s="4" t="s">
        <v>110</v>
      </c>
      <c r="H20" s="4" t="s">
        <v>574</v>
      </c>
      <c r="I20" s="4"/>
      <c r="J20" s="4" t="s">
        <v>23</v>
      </c>
      <c r="K20" s="4"/>
      <c r="L20" s="4"/>
      <c r="M20" s="4"/>
      <c r="N20" s="4"/>
      <c r="O20" s="4"/>
    </row>
    <row r="21" customFormat="false" ht="15" hidden="false" customHeight="false" outlineLevel="0" collapsed="false">
      <c r="A21" s="16" t="s">
        <v>575</v>
      </c>
      <c r="B21" s="17" t="s">
        <v>66</v>
      </c>
      <c r="C21" s="4" t="s">
        <v>67</v>
      </c>
      <c r="D21" s="4" t="s">
        <v>537</v>
      </c>
      <c r="E21" s="4" t="s">
        <v>576</v>
      </c>
      <c r="F21" s="4" t="s">
        <v>577</v>
      </c>
      <c r="G21" s="4" t="s">
        <v>110</v>
      </c>
      <c r="H21" s="4" t="s">
        <v>578</v>
      </c>
      <c r="I21" s="4"/>
      <c r="J21" s="4" t="s">
        <v>23</v>
      </c>
      <c r="K21" s="4"/>
      <c r="L21" s="4"/>
      <c r="M21" s="4"/>
      <c r="N21" s="4"/>
      <c r="O21" s="4"/>
    </row>
    <row r="22" customFormat="false" ht="35.05" hidden="false" customHeight="false" outlineLevel="0" collapsed="false">
      <c r="A22" s="16" t="s">
        <v>579</v>
      </c>
      <c r="B22" s="17" t="s">
        <v>66</v>
      </c>
      <c r="C22" s="4" t="s">
        <v>67</v>
      </c>
      <c r="D22" s="4" t="s">
        <v>580</v>
      </c>
      <c r="E22" s="4" t="s">
        <v>581</v>
      </c>
      <c r="F22" s="4" t="s">
        <v>582</v>
      </c>
      <c r="G22" s="4" t="s">
        <v>583</v>
      </c>
      <c r="H22" s="4" t="s">
        <v>584</v>
      </c>
      <c r="I22" s="4"/>
      <c r="J22" s="4" t="s">
        <v>23</v>
      </c>
      <c r="K22" s="4"/>
      <c r="L22" s="4"/>
      <c r="M22" s="4"/>
      <c r="N22" s="4"/>
      <c r="O22" s="4"/>
    </row>
    <row r="23" customFormat="false" ht="15" hidden="false" customHeight="false" outlineLevel="0" collapsed="false">
      <c r="A23" s="16" t="s">
        <v>585</v>
      </c>
      <c r="B23" s="18" t="s">
        <v>74</v>
      </c>
      <c r="C23" s="4" t="s">
        <v>67</v>
      </c>
      <c r="D23" s="4" t="s">
        <v>580</v>
      </c>
      <c r="E23" s="4" t="s">
        <v>586</v>
      </c>
      <c r="F23" s="4" t="s">
        <v>587</v>
      </c>
      <c r="G23" s="4" t="s">
        <v>110</v>
      </c>
      <c r="H23" s="4" t="s">
        <v>588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589</v>
      </c>
      <c r="B24" s="17" t="s">
        <v>66</v>
      </c>
      <c r="C24" s="4" t="s">
        <v>75</v>
      </c>
      <c r="D24" s="4" t="s">
        <v>580</v>
      </c>
      <c r="E24" s="4" t="s">
        <v>590</v>
      </c>
      <c r="F24" s="4" t="s">
        <v>591</v>
      </c>
      <c r="G24" s="4" t="s">
        <v>110</v>
      </c>
      <c r="H24" s="4" t="s">
        <v>428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592</v>
      </c>
      <c r="B25" s="18" t="s">
        <v>74</v>
      </c>
      <c r="C25" s="4" t="s">
        <v>67</v>
      </c>
      <c r="D25" s="4" t="s">
        <v>580</v>
      </c>
      <c r="E25" s="4" t="s">
        <v>110</v>
      </c>
      <c r="F25" s="4" t="s">
        <v>593</v>
      </c>
      <c r="G25" s="4" t="s">
        <v>110</v>
      </c>
      <c r="H25" s="4" t="s">
        <v>594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595</v>
      </c>
      <c r="B26" s="18" t="s">
        <v>74</v>
      </c>
      <c r="C26" s="4" t="s">
        <v>67</v>
      </c>
      <c r="D26" s="4" t="s">
        <v>580</v>
      </c>
      <c r="E26" s="4" t="s">
        <v>596</v>
      </c>
      <c r="F26" s="4" t="s">
        <v>597</v>
      </c>
      <c r="G26" s="4" t="s">
        <v>110</v>
      </c>
      <c r="H26" s="4" t="s">
        <v>598</v>
      </c>
      <c r="I26" s="4"/>
      <c r="J26" s="4" t="s">
        <v>23</v>
      </c>
      <c r="K26" s="4"/>
      <c r="L26" s="4"/>
      <c r="M26" s="4"/>
      <c r="N26" s="4"/>
      <c r="O26" s="4"/>
    </row>
    <row r="27" customFormat="false" ht="15" hidden="false" customHeight="false" outlineLevel="0" collapsed="false">
      <c r="A27" s="16" t="s">
        <v>599</v>
      </c>
      <c r="B27" s="17" t="s">
        <v>66</v>
      </c>
      <c r="C27" s="4" t="s">
        <v>113</v>
      </c>
      <c r="D27" s="4" t="s">
        <v>580</v>
      </c>
      <c r="E27" s="4" t="s">
        <v>600</v>
      </c>
      <c r="F27" s="4" t="s">
        <v>601</v>
      </c>
      <c r="G27" s="4" t="s">
        <v>110</v>
      </c>
      <c r="H27" s="4" t="s">
        <v>602</v>
      </c>
      <c r="I27" s="4"/>
      <c r="J27" s="4" t="s">
        <v>23</v>
      </c>
      <c r="K27" s="4"/>
      <c r="L27" s="4"/>
      <c r="M27" s="4"/>
      <c r="N27" s="4"/>
      <c r="O27" s="4"/>
    </row>
    <row r="28" customFormat="false" ht="15" hidden="false" customHeight="false" outlineLevel="0" collapsed="false">
      <c r="A28" s="16" t="s">
        <v>603</v>
      </c>
      <c r="B28" s="18" t="s">
        <v>74</v>
      </c>
      <c r="C28" s="4" t="s">
        <v>75</v>
      </c>
      <c r="D28" s="4" t="s">
        <v>580</v>
      </c>
      <c r="E28" s="4" t="s">
        <v>110</v>
      </c>
      <c r="F28" s="4" t="s">
        <v>604</v>
      </c>
      <c r="G28" s="4" t="s">
        <v>110</v>
      </c>
      <c r="H28" s="4" t="s">
        <v>264</v>
      </c>
      <c r="I28" s="4"/>
      <c r="J28" s="4" t="s">
        <v>23</v>
      </c>
      <c r="K28" s="4"/>
      <c r="L28" s="4"/>
      <c r="M28" s="4"/>
      <c r="N28" s="4"/>
      <c r="O28" s="4"/>
    </row>
    <row r="29" customFormat="false" ht="15" hidden="false" customHeight="false" outlineLevel="0" collapsed="false">
      <c r="A29" s="16" t="s">
        <v>605</v>
      </c>
      <c r="B29" s="19" t="s">
        <v>86</v>
      </c>
      <c r="C29" s="4" t="s">
        <v>67</v>
      </c>
      <c r="D29" s="4" t="s">
        <v>580</v>
      </c>
      <c r="E29" s="4" t="s">
        <v>606</v>
      </c>
      <c r="F29" s="4" t="s">
        <v>607</v>
      </c>
      <c r="G29" s="4" t="s">
        <v>110</v>
      </c>
      <c r="H29" s="4" t="s">
        <v>608</v>
      </c>
      <c r="I29" s="4"/>
      <c r="J29" s="4" t="s">
        <v>23</v>
      </c>
      <c r="K29" s="4"/>
      <c r="L29" s="4"/>
      <c r="M29" s="4"/>
      <c r="N29" s="4"/>
      <c r="O29" s="4"/>
    </row>
    <row r="30" customFormat="false" ht="23.85" hidden="false" customHeight="false" outlineLevel="0" collapsed="false">
      <c r="A30" s="16" t="s">
        <v>609</v>
      </c>
      <c r="B30" s="17" t="s">
        <v>66</v>
      </c>
      <c r="C30" s="4" t="s">
        <v>67</v>
      </c>
      <c r="D30" s="4" t="s">
        <v>610</v>
      </c>
      <c r="E30" s="4" t="s">
        <v>611</v>
      </c>
      <c r="F30" s="4" t="s">
        <v>612</v>
      </c>
      <c r="G30" s="4" t="s">
        <v>110</v>
      </c>
      <c r="H30" s="4" t="s">
        <v>613</v>
      </c>
      <c r="I30" s="4"/>
      <c r="J30" s="4" t="s">
        <v>23</v>
      </c>
      <c r="K30" s="4"/>
      <c r="L30" s="4"/>
      <c r="M30" s="4"/>
      <c r="N30" s="4"/>
      <c r="O30" s="4"/>
    </row>
    <row r="31" customFormat="false" ht="15" hidden="false" customHeight="false" outlineLevel="0" collapsed="false">
      <c r="A31" s="16" t="s">
        <v>614</v>
      </c>
      <c r="B31" s="18" t="s">
        <v>74</v>
      </c>
      <c r="C31" s="4" t="s">
        <v>75</v>
      </c>
      <c r="D31" s="4" t="s">
        <v>610</v>
      </c>
      <c r="E31" s="4" t="s">
        <v>615</v>
      </c>
      <c r="F31" s="4" t="s">
        <v>616</v>
      </c>
      <c r="G31" s="4" t="s">
        <v>110</v>
      </c>
      <c r="H31" s="4" t="s">
        <v>617</v>
      </c>
      <c r="I31" s="4"/>
      <c r="J31" s="4" t="s">
        <v>23</v>
      </c>
      <c r="K31" s="4"/>
      <c r="L31" s="4"/>
      <c r="M31" s="4"/>
      <c r="N31" s="4"/>
      <c r="O31" s="4"/>
    </row>
    <row r="32" customFormat="false" ht="15" hidden="false" customHeight="false" outlineLevel="0" collapsed="false">
      <c r="A32" s="16" t="s">
        <v>618</v>
      </c>
      <c r="B32" s="18" t="s">
        <v>74</v>
      </c>
      <c r="C32" s="4" t="s">
        <v>67</v>
      </c>
      <c r="D32" s="4" t="s">
        <v>619</v>
      </c>
      <c r="E32" s="4" t="s">
        <v>110</v>
      </c>
      <c r="F32" s="4" t="s">
        <v>620</v>
      </c>
      <c r="G32" s="4" t="s">
        <v>110</v>
      </c>
      <c r="H32" s="4" t="s">
        <v>621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622</v>
      </c>
      <c r="B33" s="19" t="s">
        <v>86</v>
      </c>
      <c r="C33" s="4" t="s">
        <v>67</v>
      </c>
      <c r="D33" s="4" t="s">
        <v>610</v>
      </c>
      <c r="E33" s="4" t="s">
        <v>623</v>
      </c>
      <c r="F33" s="4" t="s">
        <v>624</v>
      </c>
      <c r="G33" s="4" t="s">
        <v>110</v>
      </c>
      <c r="H33" s="4" t="s">
        <v>625</v>
      </c>
      <c r="I33" s="4"/>
      <c r="J33" s="4" t="s">
        <v>23</v>
      </c>
      <c r="K33" s="4"/>
      <c r="L33" s="4"/>
      <c r="M33" s="4"/>
      <c r="N33" s="4"/>
      <c r="O33" s="4"/>
    </row>
    <row r="34" customFormat="false" ht="15" hidden="false" customHeight="false" outlineLevel="0" collapsed="false">
      <c r="A34" s="16" t="s">
        <v>626</v>
      </c>
      <c r="B34" s="18" t="s">
        <v>74</v>
      </c>
      <c r="C34" s="4" t="s">
        <v>113</v>
      </c>
      <c r="D34" s="4" t="s">
        <v>610</v>
      </c>
      <c r="E34" s="4" t="s">
        <v>627</v>
      </c>
      <c r="F34" s="4" t="s">
        <v>628</v>
      </c>
      <c r="G34" s="4" t="s">
        <v>110</v>
      </c>
      <c r="H34" s="4" t="s">
        <v>629</v>
      </c>
      <c r="I34" s="4"/>
      <c r="J34" s="4" t="s">
        <v>23</v>
      </c>
      <c r="K34" s="4"/>
      <c r="L34" s="4"/>
      <c r="M34" s="4"/>
      <c r="N34" s="4"/>
      <c r="O34" s="4"/>
    </row>
    <row r="35" customFormat="false" ht="15" hidden="false" customHeight="false" outlineLevel="0" collapsed="false">
      <c r="A35" s="16" t="s">
        <v>630</v>
      </c>
      <c r="B35" s="18" t="s">
        <v>74</v>
      </c>
      <c r="C35" s="4" t="s">
        <v>75</v>
      </c>
      <c r="D35" s="4" t="s">
        <v>610</v>
      </c>
      <c r="E35" s="4" t="s">
        <v>466</v>
      </c>
      <c r="F35" s="4" t="s">
        <v>631</v>
      </c>
      <c r="G35" s="4" t="s">
        <v>110</v>
      </c>
      <c r="H35" s="4" t="s">
        <v>264</v>
      </c>
      <c r="I35" s="4"/>
      <c r="J35" s="4" t="s">
        <v>23</v>
      </c>
      <c r="K35" s="4"/>
      <c r="L35" s="4"/>
      <c r="M35" s="4"/>
      <c r="N35" s="4"/>
      <c r="O35" s="4"/>
    </row>
    <row r="36" customFormat="false" ht="15" hidden="false" customHeight="false" outlineLevel="0" collapsed="false">
      <c r="A36" s="16" t="s">
        <v>632</v>
      </c>
      <c r="B36" s="17" t="s">
        <v>66</v>
      </c>
      <c r="C36" s="4" t="s">
        <v>113</v>
      </c>
      <c r="D36" s="4" t="s">
        <v>473</v>
      </c>
      <c r="E36" s="4" t="s">
        <v>633</v>
      </c>
      <c r="F36" s="4" t="s">
        <v>634</v>
      </c>
      <c r="G36" s="4" t="s">
        <v>110</v>
      </c>
      <c r="H36" s="4" t="s">
        <v>635</v>
      </c>
      <c r="I36" s="4"/>
      <c r="J36" s="4" t="s">
        <v>23</v>
      </c>
      <c r="K36" s="4"/>
      <c r="L36" s="4"/>
      <c r="M36" s="4"/>
      <c r="N36" s="4"/>
      <c r="O36" s="4"/>
    </row>
    <row r="37" customFormat="false" ht="15" hidden="false" customHeight="false" outlineLevel="0" collapsed="false">
      <c r="A37" s="16" t="s">
        <v>636</v>
      </c>
      <c r="B37" s="17" t="s">
        <v>66</v>
      </c>
      <c r="C37" s="4" t="s">
        <v>113</v>
      </c>
      <c r="D37" s="4" t="s">
        <v>473</v>
      </c>
      <c r="E37" s="4" t="s">
        <v>110</v>
      </c>
      <c r="F37" s="4" t="s">
        <v>637</v>
      </c>
      <c r="G37" s="4" t="s">
        <v>110</v>
      </c>
      <c r="H37" s="4" t="s">
        <v>638</v>
      </c>
      <c r="I37" s="4"/>
      <c r="J37" s="4" t="s">
        <v>23</v>
      </c>
      <c r="K37" s="4"/>
      <c r="L37" s="4"/>
      <c r="M37" s="4"/>
      <c r="N37" s="4"/>
      <c r="O37" s="4"/>
    </row>
    <row r="38" customFormat="false" ht="15" hidden="false" customHeight="false" outlineLevel="0" collapsed="false">
      <c r="A38" s="16" t="s">
        <v>639</v>
      </c>
      <c r="B38" s="17" t="s">
        <v>66</v>
      </c>
      <c r="C38" s="4" t="s">
        <v>113</v>
      </c>
      <c r="D38" s="4" t="s">
        <v>481</v>
      </c>
      <c r="E38" s="4" t="s">
        <v>640</v>
      </c>
      <c r="F38" s="4" t="s">
        <v>641</v>
      </c>
      <c r="G38" s="4" t="s">
        <v>110</v>
      </c>
      <c r="H38" s="4" t="s">
        <v>642</v>
      </c>
      <c r="I38" s="4"/>
      <c r="J38" s="4" t="s">
        <v>23</v>
      </c>
      <c r="K38" s="4"/>
      <c r="L38" s="4"/>
      <c r="M38" s="4"/>
      <c r="N38" s="4"/>
      <c r="O38" s="4"/>
    </row>
    <row r="39" customFormat="false" ht="15" hidden="false" customHeight="false" outlineLevel="0" collapsed="false">
      <c r="A39" s="16" t="s">
        <v>643</v>
      </c>
      <c r="B39" s="18" t="s">
        <v>74</v>
      </c>
      <c r="C39" s="4" t="s">
        <v>67</v>
      </c>
      <c r="D39" s="4" t="s">
        <v>481</v>
      </c>
      <c r="E39" s="4" t="s">
        <v>486</v>
      </c>
      <c r="F39" s="4" t="s">
        <v>644</v>
      </c>
      <c r="G39" s="4" t="s">
        <v>110</v>
      </c>
      <c r="H39" s="4" t="s">
        <v>645</v>
      </c>
      <c r="I39" s="4"/>
      <c r="J39" s="4" t="s">
        <v>23</v>
      </c>
      <c r="K39" s="4"/>
      <c r="L39" s="4"/>
      <c r="M39" s="4"/>
      <c r="N39" s="4"/>
      <c r="O39" s="4"/>
    </row>
    <row r="40" customFormat="false" ht="23.85" hidden="false" customHeight="false" outlineLevel="0" collapsed="false">
      <c r="A40" s="16" t="s">
        <v>646</v>
      </c>
      <c r="B40" s="17" t="s">
        <v>66</v>
      </c>
      <c r="C40" s="4" t="s">
        <v>113</v>
      </c>
      <c r="D40" s="4" t="s">
        <v>493</v>
      </c>
      <c r="E40" s="4" t="s">
        <v>555</v>
      </c>
      <c r="F40" s="4" t="s">
        <v>647</v>
      </c>
      <c r="G40" s="4" t="s">
        <v>110</v>
      </c>
      <c r="H40" s="4" t="s">
        <v>648</v>
      </c>
      <c r="I40" s="4"/>
      <c r="J40" s="4" t="s">
        <v>23</v>
      </c>
      <c r="K40" s="4"/>
      <c r="L40" s="4"/>
      <c r="M40" s="4"/>
      <c r="N40" s="4"/>
      <c r="O40" s="4"/>
    </row>
    <row r="41" customFormat="false" ht="15" hidden="false" customHeight="false" outlineLevel="0" collapsed="false">
      <c r="A41" s="16" t="s">
        <v>649</v>
      </c>
      <c r="B41" s="17" t="s">
        <v>66</v>
      </c>
      <c r="C41" s="4" t="s">
        <v>113</v>
      </c>
      <c r="D41" s="4" t="s">
        <v>493</v>
      </c>
      <c r="E41" s="4" t="s">
        <v>600</v>
      </c>
      <c r="F41" s="4" t="s">
        <v>647</v>
      </c>
      <c r="G41" s="4" t="s">
        <v>110</v>
      </c>
      <c r="H41" s="4" t="s">
        <v>650</v>
      </c>
      <c r="I41" s="4"/>
      <c r="J41" s="4" t="s">
        <v>23</v>
      </c>
      <c r="K41" s="4"/>
      <c r="L41" s="4"/>
      <c r="M41" s="4"/>
      <c r="N41" s="4"/>
      <c r="O41" s="4"/>
    </row>
    <row r="42" customFormat="false" ht="15" hidden="false" customHeight="false" outlineLevel="0" collapsed="false">
      <c r="A42" s="16" t="s">
        <v>651</v>
      </c>
      <c r="B42" s="17" t="s">
        <v>66</v>
      </c>
      <c r="C42" s="4" t="s">
        <v>113</v>
      </c>
      <c r="D42" s="4" t="s">
        <v>493</v>
      </c>
      <c r="E42" s="4" t="s">
        <v>627</v>
      </c>
      <c r="F42" s="4" t="s">
        <v>647</v>
      </c>
      <c r="G42" s="4" t="s">
        <v>110</v>
      </c>
      <c r="H42" s="4" t="s">
        <v>652</v>
      </c>
      <c r="I42" s="4"/>
      <c r="J42" s="4" t="s">
        <v>23</v>
      </c>
      <c r="K42" s="4"/>
      <c r="L42" s="4"/>
      <c r="M42" s="4"/>
      <c r="N42" s="4"/>
      <c r="O42" s="4"/>
    </row>
    <row r="43" customFormat="false" ht="15" hidden="false" customHeight="false" outlineLevel="0" collapsed="false">
      <c r="A43" s="16" t="s">
        <v>653</v>
      </c>
      <c r="B43" s="17" t="s">
        <v>66</v>
      </c>
      <c r="C43" s="4" t="s">
        <v>113</v>
      </c>
      <c r="D43" s="4" t="s">
        <v>493</v>
      </c>
      <c r="E43" s="4" t="s">
        <v>511</v>
      </c>
      <c r="F43" s="4" t="s">
        <v>654</v>
      </c>
      <c r="G43" s="4" t="s">
        <v>110</v>
      </c>
      <c r="H43" s="4" t="s">
        <v>655</v>
      </c>
      <c r="I43" s="4"/>
      <c r="J43" s="4" t="s">
        <v>23</v>
      </c>
      <c r="K43" s="4"/>
      <c r="L43" s="4"/>
      <c r="M43" s="4"/>
      <c r="N43" s="4"/>
      <c r="O43" s="4"/>
    </row>
  </sheetData>
  <autoFilter ref="A3:O43"/>
  <mergeCells count="2">
    <mergeCell ref="A1:O1"/>
    <mergeCell ref="A2:O2"/>
  </mergeCells>
  <conditionalFormatting sqref="J4:J4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43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43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43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43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656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657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35.05" hidden="false" customHeight="false" outlineLevel="0" collapsed="false">
      <c r="A4" s="16" t="s">
        <v>658</v>
      </c>
      <c r="B4" s="17" t="s">
        <v>66</v>
      </c>
      <c r="C4" s="4" t="s">
        <v>67</v>
      </c>
      <c r="D4" s="4" t="s">
        <v>659</v>
      </c>
      <c r="E4" s="4" t="s">
        <v>228</v>
      </c>
      <c r="F4" s="4" t="s">
        <v>660</v>
      </c>
      <c r="G4" s="4" t="s">
        <v>661</v>
      </c>
      <c r="H4" s="4" t="s">
        <v>662</v>
      </c>
      <c r="I4" s="4"/>
      <c r="J4" s="4" t="s">
        <v>23</v>
      </c>
      <c r="K4" s="4"/>
      <c r="L4" s="4"/>
      <c r="M4" s="4"/>
      <c r="N4" s="4"/>
      <c r="O4" s="4"/>
    </row>
    <row r="5" customFormat="false" ht="15" hidden="false" customHeight="false" outlineLevel="0" collapsed="false">
      <c r="A5" s="16" t="s">
        <v>663</v>
      </c>
      <c r="B5" s="18" t="s">
        <v>74</v>
      </c>
      <c r="C5" s="4" t="s">
        <v>75</v>
      </c>
      <c r="D5" s="4" t="s">
        <v>659</v>
      </c>
      <c r="E5" s="4" t="s">
        <v>664</v>
      </c>
      <c r="F5" s="4" t="s">
        <v>665</v>
      </c>
      <c r="G5" s="4" t="s">
        <v>110</v>
      </c>
      <c r="H5" s="4" t="s">
        <v>264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666</v>
      </c>
      <c r="B6" s="18" t="s">
        <v>74</v>
      </c>
      <c r="C6" s="4" t="s">
        <v>75</v>
      </c>
      <c r="D6" s="4" t="s">
        <v>659</v>
      </c>
      <c r="E6" s="4" t="s">
        <v>667</v>
      </c>
      <c r="F6" s="4" t="s">
        <v>668</v>
      </c>
      <c r="G6" s="4" t="s">
        <v>110</v>
      </c>
      <c r="H6" s="4" t="s">
        <v>264</v>
      </c>
      <c r="I6" s="4"/>
      <c r="J6" s="4" t="s">
        <v>23</v>
      </c>
      <c r="K6" s="4"/>
      <c r="L6" s="4"/>
      <c r="M6" s="4"/>
      <c r="N6" s="4"/>
      <c r="O6" s="4"/>
    </row>
    <row r="7" customFormat="false" ht="15" hidden="false" customHeight="false" outlineLevel="0" collapsed="false">
      <c r="A7" s="16" t="s">
        <v>669</v>
      </c>
      <c r="B7" s="19" t="s">
        <v>86</v>
      </c>
      <c r="C7" s="4" t="s">
        <v>67</v>
      </c>
      <c r="D7" s="4" t="s">
        <v>659</v>
      </c>
      <c r="E7" s="4" t="s">
        <v>511</v>
      </c>
      <c r="F7" s="4" t="s">
        <v>670</v>
      </c>
      <c r="G7" s="4" t="s">
        <v>110</v>
      </c>
      <c r="H7" s="4" t="s">
        <v>671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672</v>
      </c>
      <c r="B8" s="18" t="s">
        <v>74</v>
      </c>
      <c r="C8" s="4" t="s">
        <v>67</v>
      </c>
      <c r="D8" s="4" t="s">
        <v>659</v>
      </c>
      <c r="E8" s="4" t="s">
        <v>673</v>
      </c>
      <c r="F8" s="4" t="s">
        <v>220</v>
      </c>
      <c r="G8" s="4" t="s">
        <v>110</v>
      </c>
      <c r="H8" s="4" t="s">
        <v>365</v>
      </c>
      <c r="I8" s="4"/>
      <c r="J8" s="4" t="s">
        <v>23</v>
      </c>
      <c r="K8" s="4"/>
      <c r="L8" s="4"/>
      <c r="M8" s="4"/>
      <c r="N8" s="4"/>
      <c r="O8" s="4"/>
    </row>
    <row r="9" customFormat="false" ht="23.85" hidden="false" customHeight="false" outlineLevel="0" collapsed="false">
      <c r="A9" s="16" t="s">
        <v>674</v>
      </c>
      <c r="B9" s="17" t="s">
        <v>66</v>
      </c>
      <c r="C9" s="4" t="s">
        <v>67</v>
      </c>
      <c r="D9" s="4" t="s">
        <v>675</v>
      </c>
      <c r="E9" s="4" t="s">
        <v>228</v>
      </c>
      <c r="F9" s="4" t="s">
        <v>676</v>
      </c>
      <c r="G9" s="4" t="s">
        <v>677</v>
      </c>
      <c r="H9" s="4" t="s">
        <v>678</v>
      </c>
      <c r="I9" s="4"/>
      <c r="J9" s="4" t="s">
        <v>23</v>
      </c>
      <c r="K9" s="4"/>
      <c r="L9" s="4"/>
      <c r="M9" s="4"/>
      <c r="N9" s="4"/>
      <c r="O9" s="4"/>
    </row>
    <row r="10" customFormat="false" ht="15" hidden="false" customHeight="false" outlineLevel="0" collapsed="false">
      <c r="A10" s="16" t="s">
        <v>679</v>
      </c>
      <c r="B10" s="18" t="s">
        <v>74</v>
      </c>
      <c r="C10" s="4" t="s">
        <v>75</v>
      </c>
      <c r="D10" s="4" t="s">
        <v>675</v>
      </c>
      <c r="E10" s="4" t="s">
        <v>680</v>
      </c>
      <c r="F10" s="4" t="s">
        <v>681</v>
      </c>
      <c r="G10" s="4" t="s">
        <v>110</v>
      </c>
      <c r="H10" s="4" t="s">
        <v>264</v>
      </c>
      <c r="I10" s="4"/>
      <c r="J10" s="4" t="s">
        <v>23</v>
      </c>
      <c r="K10" s="4"/>
      <c r="L10" s="4"/>
      <c r="M10" s="4"/>
      <c r="N10" s="4"/>
      <c r="O10" s="4"/>
    </row>
    <row r="11" customFormat="false" ht="23.85" hidden="false" customHeight="false" outlineLevel="0" collapsed="false">
      <c r="A11" s="16" t="s">
        <v>682</v>
      </c>
      <c r="B11" s="18" t="s">
        <v>74</v>
      </c>
      <c r="C11" s="4" t="s">
        <v>67</v>
      </c>
      <c r="D11" s="4" t="s">
        <v>675</v>
      </c>
      <c r="E11" s="4" t="s">
        <v>683</v>
      </c>
      <c r="F11" s="4" t="s">
        <v>684</v>
      </c>
      <c r="G11" s="4" t="s">
        <v>110</v>
      </c>
      <c r="H11" s="4" t="s">
        <v>685</v>
      </c>
      <c r="I11" s="4"/>
      <c r="J11" s="4" t="s">
        <v>23</v>
      </c>
      <c r="K11" s="4"/>
      <c r="L11" s="4"/>
      <c r="M11" s="4"/>
      <c r="N11" s="4"/>
      <c r="O11" s="4"/>
    </row>
    <row r="12" customFormat="false" ht="15" hidden="false" customHeight="false" outlineLevel="0" collapsed="false">
      <c r="A12" s="16" t="s">
        <v>686</v>
      </c>
      <c r="B12" s="19" t="s">
        <v>86</v>
      </c>
      <c r="C12" s="4" t="s">
        <v>67</v>
      </c>
      <c r="D12" s="4" t="s">
        <v>675</v>
      </c>
      <c r="E12" s="4" t="s">
        <v>687</v>
      </c>
      <c r="F12" s="4" t="s">
        <v>688</v>
      </c>
      <c r="G12" s="4" t="s">
        <v>110</v>
      </c>
      <c r="H12" s="4" t="s">
        <v>26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689</v>
      </c>
      <c r="B13" s="17" t="s">
        <v>66</v>
      </c>
      <c r="C13" s="4" t="s">
        <v>92</v>
      </c>
      <c r="D13" s="4" t="s">
        <v>675</v>
      </c>
      <c r="E13" s="4" t="s">
        <v>690</v>
      </c>
      <c r="F13" s="4" t="s">
        <v>691</v>
      </c>
      <c r="G13" s="4" t="s">
        <v>110</v>
      </c>
      <c r="H13" s="4" t="s">
        <v>692</v>
      </c>
      <c r="I13" s="4"/>
      <c r="J13" s="4" t="s">
        <v>23</v>
      </c>
      <c r="K13" s="4"/>
      <c r="L13" s="4"/>
      <c r="M13" s="4"/>
      <c r="N13" s="4"/>
      <c r="O13" s="4"/>
    </row>
    <row r="14" customFormat="false" ht="15" hidden="false" customHeight="false" outlineLevel="0" collapsed="false">
      <c r="A14" s="16" t="s">
        <v>693</v>
      </c>
      <c r="B14" s="18" t="s">
        <v>74</v>
      </c>
      <c r="C14" s="4" t="s">
        <v>67</v>
      </c>
      <c r="D14" s="4" t="s">
        <v>694</v>
      </c>
      <c r="E14" s="4" t="s">
        <v>228</v>
      </c>
      <c r="F14" s="4" t="s">
        <v>695</v>
      </c>
      <c r="G14" s="4" t="s">
        <v>110</v>
      </c>
      <c r="H14" s="4" t="s">
        <v>696</v>
      </c>
      <c r="I14" s="4"/>
      <c r="J14" s="4" t="s">
        <v>23</v>
      </c>
      <c r="K14" s="4"/>
      <c r="L14" s="4"/>
      <c r="M14" s="4"/>
      <c r="N14" s="4"/>
      <c r="O14" s="4"/>
    </row>
    <row r="15" customFormat="false" ht="15" hidden="false" customHeight="false" outlineLevel="0" collapsed="false">
      <c r="A15" s="16" t="s">
        <v>697</v>
      </c>
      <c r="B15" s="19" t="s">
        <v>86</v>
      </c>
      <c r="C15" s="4" t="s">
        <v>67</v>
      </c>
      <c r="D15" s="4" t="s">
        <v>694</v>
      </c>
      <c r="E15" s="4" t="s">
        <v>110</v>
      </c>
      <c r="F15" s="4" t="s">
        <v>698</v>
      </c>
      <c r="G15" s="4" t="s">
        <v>110</v>
      </c>
      <c r="H15" s="4" t="s">
        <v>699</v>
      </c>
      <c r="I15" s="4"/>
      <c r="J15" s="4" t="s">
        <v>23</v>
      </c>
      <c r="K15" s="4"/>
      <c r="L15" s="4"/>
      <c r="M15" s="4"/>
      <c r="N15" s="4"/>
      <c r="O15" s="4"/>
    </row>
    <row r="16" customFormat="false" ht="15" hidden="false" customHeight="false" outlineLevel="0" collapsed="false">
      <c r="A16" s="16" t="s">
        <v>700</v>
      </c>
      <c r="B16" s="18" t="s">
        <v>74</v>
      </c>
      <c r="C16" s="4" t="s">
        <v>113</v>
      </c>
      <c r="D16" s="4" t="s">
        <v>694</v>
      </c>
      <c r="E16" s="4" t="s">
        <v>110</v>
      </c>
      <c r="F16" s="4" t="s">
        <v>701</v>
      </c>
      <c r="G16" s="4" t="s">
        <v>110</v>
      </c>
      <c r="H16" s="4" t="s">
        <v>702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703</v>
      </c>
      <c r="B17" s="17" t="s">
        <v>66</v>
      </c>
      <c r="C17" s="4" t="s">
        <v>67</v>
      </c>
      <c r="D17" s="4" t="s">
        <v>704</v>
      </c>
      <c r="E17" s="4" t="s">
        <v>705</v>
      </c>
      <c r="F17" s="4" t="s">
        <v>706</v>
      </c>
      <c r="G17" s="4" t="s">
        <v>110</v>
      </c>
      <c r="H17" s="4" t="s">
        <v>707</v>
      </c>
      <c r="I17" s="4"/>
      <c r="J17" s="4" t="s">
        <v>23</v>
      </c>
      <c r="K17" s="4"/>
      <c r="L17" s="4"/>
      <c r="M17" s="4"/>
      <c r="N17" s="4"/>
      <c r="O17" s="4"/>
    </row>
    <row r="18" customFormat="false" ht="15" hidden="false" customHeight="false" outlineLevel="0" collapsed="false">
      <c r="A18" s="16" t="s">
        <v>708</v>
      </c>
      <c r="B18" s="17" t="s">
        <v>66</v>
      </c>
      <c r="C18" s="4" t="s">
        <v>67</v>
      </c>
      <c r="D18" s="4" t="s">
        <v>709</v>
      </c>
      <c r="E18" s="4" t="s">
        <v>710</v>
      </c>
      <c r="F18" s="4" t="s">
        <v>711</v>
      </c>
      <c r="G18" s="4" t="s">
        <v>110</v>
      </c>
      <c r="H18" s="4" t="s">
        <v>712</v>
      </c>
      <c r="I18" s="4"/>
      <c r="J18" s="4" t="s">
        <v>23</v>
      </c>
      <c r="K18" s="4"/>
      <c r="L18" s="4"/>
      <c r="M18" s="4"/>
      <c r="N18" s="4"/>
      <c r="O18" s="4"/>
    </row>
    <row r="19" customFormat="false" ht="15" hidden="false" customHeight="false" outlineLevel="0" collapsed="false">
      <c r="A19" s="16" t="s">
        <v>713</v>
      </c>
      <c r="B19" s="18" t="s">
        <v>74</v>
      </c>
      <c r="C19" s="4" t="s">
        <v>75</v>
      </c>
      <c r="D19" s="4" t="s">
        <v>709</v>
      </c>
      <c r="E19" s="4" t="s">
        <v>714</v>
      </c>
      <c r="F19" s="4" t="s">
        <v>715</v>
      </c>
      <c r="G19" s="4" t="s">
        <v>110</v>
      </c>
      <c r="H19" s="4" t="s">
        <v>716</v>
      </c>
      <c r="I19" s="4"/>
      <c r="J19" s="4" t="s">
        <v>23</v>
      </c>
      <c r="K19" s="4"/>
      <c r="L19" s="4"/>
      <c r="M19" s="4"/>
      <c r="N19" s="4"/>
      <c r="O19" s="4"/>
    </row>
    <row r="20" customFormat="false" ht="15" hidden="false" customHeight="false" outlineLevel="0" collapsed="false">
      <c r="A20" s="16" t="s">
        <v>717</v>
      </c>
      <c r="B20" s="17" t="s">
        <v>66</v>
      </c>
      <c r="C20" s="4" t="s">
        <v>67</v>
      </c>
      <c r="D20" s="4" t="s">
        <v>718</v>
      </c>
      <c r="E20" s="4" t="s">
        <v>719</v>
      </c>
      <c r="F20" s="4" t="s">
        <v>720</v>
      </c>
      <c r="G20" s="4" t="s">
        <v>110</v>
      </c>
      <c r="H20" s="4" t="s">
        <v>721</v>
      </c>
      <c r="I20" s="4"/>
      <c r="J20" s="4" t="s">
        <v>23</v>
      </c>
      <c r="K20" s="4"/>
      <c r="L20" s="4"/>
      <c r="M20" s="4"/>
      <c r="N20" s="4"/>
      <c r="O20" s="4"/>
    </row>
    <row r="21" customFormat="false" ht="15" hidden="false" customHeight="false" outlineLevel="0" collapsed="false">
      <c r="A21" s="16" t="s">
        <v>722</v>
      </c>
      <c r="B21" s="17" t="s">
        <v>66</v>
      </c>
      <c r="C21" s="4" t="s">
        <v>67</v>
      </c>
      <c r="D21" s="4" t="s">
        <v>723</v>
      </c>
      <c r="E21" s="4" t="s">
        <v>724</v>
      </c>
      <c r="F21" s="4" t="s">
        <v>725</v>
      </c>
      <c r="G21" s="4" t="s">
        <v>110</v>
      </c>
      <c r="H21" s="4" t="s">
        <v>726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727</v>
      </c>
      <c r="B22" s="18" t="s">
        <v>74</v>
      </c>
      <c r="C22" s="4" t="s">
        <v>75</v>
      </c>
      <c r="D22" s="4" t="s">
        <v>728</v>
      </c>
      <c r="E22" s="4" t="s">
        <v>552</v>
      </c>
      <c r="F22" s="4" t="s">
        <v>729</v>
      </c>
      <c r="G22" s="4" t="s">
        <v>110</v>
      </c>
      <c r="H22" s="4" t="s">
        <v>264</v>
      </c>
      <c r="I22" s="4"/>
      <c r="J22" s="4" t="s">
        <v>23</v>
      </c>
      <c r="K22" s="4"/>
      <c r="L22" s="4"/>
      <c r="M22" s="4"/>
      <c r="N22" s="4"/>
      <c r="O22" s="4"/>
    </row>
    <row r="23" customFormat="false" ht="15" hidden="false" customHeight="false" outlineLevel="0" collapsed="false">
      <c r="A23" s="16" t="s">
        <v>730</v>
      </c>
      <c r="B23" s="18" t="s">
        <v>74</v>
      </c>
      <c r="C23" s="4" t="s">
        <v>75</v>
      </c>
      <c r="D23" s="4" t="s">
        <v>728</v>
      </c>
      <c r="E23" s="4" t="s">
        <v>110</v>
      </c>
      <c r="F23" s="4" t="s">
        <v>731</v>
      </c>
      <c r="G23" s="4" t="s">
        <v>110</v>
      </c>
      <c r="H23" s="4" t="s">
        <v>264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732</v>
      </c>
      <c r="B24" s="18" t="s">
        <v>74</v>
      </c>
      <c r="C24" s="4" t="s">
        <v>75</v>
      </c>
      <c r="D24" s="4" t="s">
        <v>728</v>
      </c>
      <c r="E24" s="4" t="s">
        <v>110</v>
      </c>
      <c r="F24" s="4" t="s">
        <v>733</v>
      </c>
      <c r="G24" s="4" t="s">
        <v>110</v>
      </c>
      <c r="H24" s="4" t="s">
        <v>264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734</v>
      </c>
      <c r="B25" s="17" t="s">
        <v>66</v>
      </c>
      <c r="C25" s="4" t="s">
        <v>75</v>
      </c>
      <c r="D25" s="4" t="s">
        <v>728</v>
      </c>
      <c r="E25" s="4" t="s">
        <v>735</v>
      </c>
      <c r="F25" s="4" t="s">
        <v>736</v>
      </c>
      <c r="G25" s="4" t="s">
        <v>110</v>
      </c>
      <c r="H25" s="4" t="s">
        <v>26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737</v>
      </c>
      <c r="B26" s="18" t="s">
        <v>74</v>
      </c>
      <c r="C26" s="4" t="s">
        <v>67</v>
      </c>
      <c r="D26" s="4" t="s">
        <v>728</v>
      </c>
      <c r="E26" s="4" t="s">
        <v>738</v>
      </c>
      <c r="F26" s="4" t="s">
        <v>739</v>
      </c>
      <c r="G26" s="4" t="s">
        <v>110</v>
      </c>
      <c r="H26" s="4" t="s">
        <v>625</v>
      </c>
      <c r="I26" s="4"/>
      <c r="J26" s="4" t="s">
        <v>23</v>
      </c>
      <c r="K26" s="4"/>
      <c r="L26" s="4"/>
      <c r="M26" s="4"/>
      <c r="N26" s="4"/>
      <c r="O26" s="4"/>
    </row>
    <row r="27" customFormat="false" ht="15" hidden="false" customHeight="false" outlineLevel="0" collapsed="false">
      <c r="A27" s="16" t="s">
        <v>740</v>
      </c>
      <c r="B27" s="17" t="s">
        <v>66</v>
      </c>
      <c r="C27" s="4" t="s">
        <v>67</v>
      </c>
      <c r="D27" s="4" t="s">
        <v>741</v>
      </c>
      <c r="E27" s="4" t="s">
        <v>742</v>
      </c>
      <c r="F27" s="4" t="s">
        <v>743</v>
      </c>
      <c r="G27" s="4" t="s">
        <v>110</v>
      </c>
      <c r="H27" s="4" t="s">
        <v>744</v>
      </c>
      <c r="I27" s="4"/>
      <c r="J27" s="4" t="s">
        <v>23</v>
      </c>
      <c r="K27" s="4"/>
      <c r="L27" s="4"/>
      <c r="M27" s="4"/>
      <c r="N27" s="4"/>
      <c r="O27" s="4"/>
    </row>
    <row r="28" customFormat="false" ht="15" hidden="false" customHeight="false" outlineLevel="0" collapsed="false">
      <c r="A28" s="16" t="s">
        <v>745</v>
      </c>
      <c r="B28" s="17" t="s">
        <v>66</v>
      </c>
      <c r="C28" s="4" t="s">
        <v>67</v>
      </c>
      <c r="D28" s="4" t="s">
        <v>741</v>
      </c>
      <c r="E28" s="4" t="s">
        <v>110</v>
      </c>
      <c r="F28" s="4" t="s">
        <v>746</v>
      </c>
      <c r="G28" s="4" t="s">
        <v>110</v>
      </c>
      <c r="H28" s="4" t="s">
        <v>747</v>
      </c>
      <c r="I28" s="4"/>
      <c r="J28" s="4" t="s">
        <v>23</v>
      </c>
      <c r="K28" s="4"/>
      <c r="L28" s="4"/>
      <c r="M28" s="4"/>
      <c r="N28" s="4"/>
      <c r="O28" s="4"/>
    </row>
    <row r="29" customFormat="false" ht="15" hidden="false" customHeight="false" outlineLevel="0" collapsed="false">
      <c r="A29" s="16" t="s">
        <v>748</v>
      </c>
      <c r="B29" s="18" t="s">
        <v>74</v>
      </c>
      <c r="C29" s="4" t="s">
        <v>67</v>
      </c>
      <c r="D29" s="4" t="s">
        <v>741</v>
      </c>
      <c r="E29" s="4" t="s">
        <v>749</v>
      </c>
      <c r="F29" s="4" t="s">
        <v>750</v>
      </c>
      <c r="G29" s="4" t="s">
        <v>751</v>
      </c>
      <c r="H29" s="4" t="s">
        <v>752</v>
      </c>
      <c r="I29" s="4"/>
      <c r="J29" s="4" t="s">
        <v>23</v>
      </c>
      <c r="K29" s="4"/>
      <c r="L29" s="4"/>
      <c r="M29" s="4"/>
      <c r="N29" s="4"/>
      <c r="O29" s="4"/>
    </row>
    <row r="30" customFormat="false" ht="15" hidden="false" customHeight="false" outlineLevel="0" collapsed="false">
      <c r="A30" s="16" t="s">
        <v>753</v>
      </c>
      <c r="B30" s="18" t="s">
        <v>74</v>
      </c>
      <c r="C30" s="4" t="s">
        <v>75</v>
      </c>
      <c r="D30" s="4" t="s">
        <v>741</v>
      </c>
      <c r="E30" s="4" t="s">
        <v>110</v>
      </c>
      <c r="F30" s="4" t="s">
        <v>754</v>
      </c>
      <c r="G30" s="4" t="s">
        <v>110</v>
      </c>
      <c r="H30" s="4" t="s">
        <v>264</v>
      </c>
      <c r="I30" s="4"/>
      <c r="J30" s="4" t="s">
        <v>23</v>
      </c>
      <c r="K30" s="4"/>
      <c r="L30" s="4"/>
      <c r="M30" s="4"/>
      <c r="N30" s="4"/>
      <c r="O30" s="4"/>
    </row>
    <row r="31" customFormat="false" ht="35.05" hidden="false" customHeight="false" outlineLevel="0" collapsed="false">
      <c r="A31" s="16" t="s">
        <v>755</v>
      </c>
      <c r="B31" s="17" t="s">
        <v>66</v>
      </c>
      <c r="C31" s="4" t="s">
        <v>67</v>
      </c>
      <c r="D31" s="4" t="s">
        <v>502</v>
      </c>
      <c r="E31" s="4" t="s">
        <v>756</v>
      </c>
      <c r="F31" s="4" t="s">
        <v>757</v>
      </c>
      <c r="G31" s="4" t="s">
        <v>110</v>
      </c>
      <c r="H31" s="4" t="s">
        <v>758</v>
      </c>
      <c r="I31" s="4"/>
      <c r="J31" s="4" t="s">
        <v>23</v>
      </c>
      <c r="K31" s="4"/>
      <c r="L31" s="4"/>
      <c r="M31" s="4"/>
      <c r="N31" s="4"/>
      <c r="O31" s="4"/>
    </row>
    <row r="32" customFormat="false" ht="23.85" hidden="false" customHeight="false" outlineLevel="0" collapsed="false">
      <c r="A32" s="16" t="s">
        <v>759</v>
      </c>
      <c r="B32" s="17" t="s">
        <v>66</v>
      </c>
      <c r="C32" s="4" t="s">
        <v>113</v>
      </c>
      <c r="D32" s="4" t="s">
        <v>502</v>
      </c>
      <c r="E32" s="4" t="s">
        <v>760</v>
      </c>
      <c r="F32" s="4" t="s">
        <v>761</v>
      </c>
      <c r="G32" s="4" t="s">
        <v>110</v>
      </c>
      <c r="H32" s="4" t="s">
        <v>762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763</v>
      </c>
      <c r="B33" s="18" t="s">
        <v>74</v>
      </c>
      <c r="C33" s="4" t="s">
        <v>67</v>
      </c>
      <c r="D33" s="4" t="s">
        <v>502</v>
      </c>
      <c r="E33" s="4" t="s">
        <v>110</v>
      </c>
      <c r="F33" s="4" t="s">
        <v>764</v>
      </c>
      <c r="G33" s="4" t="s">
        <v>110</v>
      </c>
      <c r="H33" s="4" t="s">
        <v>765</v>
      </c>
      <c r="I33" s="4"/>
      <c r="J33" s="4" t="s">
        <v>23</v>
      </c>
      <c r="K33" s="4"/>
      <c r="L33" s="4"/>
      <c r="M33" s="4"/>
      <c r="N33" s="4"/>
      <c r="O33" s="4"/>
    </row>
    <row r="34" customFormat="false" ht="23.85" hidden="false" customHeight="false" outlineLevel="0" collapsed="false">
      <c r="A34" s="16" t="s">
        <v>766</v>
      </c>
      <c r="B34" s="18" t="s">
        <v>74</v>
      </c>
      <c r="C34" s="4" t="s">
        <v>67</v>
      </c>
      <c r="D34" s="4" t="s">
        <v>502</v>
      </c>
      <c r="E34" s="4" t="s">
        <v>767</v>
      </c>
      <c r="F34" s="4" t="s">
        <v>768</v>
      </c>
      <c r="G34" s="4" t="s">
        <v>110</v>
      </c>
      <c r="H34" s="4" t="s">
        <v>769</v>
      </c>
      <c r="I34" s="4"/>
      <c r="J34" s="4" t="s">
        <v>23</v>
      </c>
      <c r="K34" s="4"/>
      <c r="L34" s="4"/>
      <c r="M34" s="4"/>
      <c r="N34" s="4"/>
      <c r="O34" s="4"/>
    </row>
    <row r="35" customFormat="false" ht="15" hidden="false" customHeight="false" outlineLevel="0" collapsed="false">
      <c r="A35" s="16" t="s">
        <v>770</v>
      </c>
      <c r="B35" s="17" t="s">
        <v>66</v>
      </c>
      <c r="C35" s="4" t="s">
        <v>113</v>
      </c>
      <c r="D35" s="4" t="s">
        <v>502</v>
      </c>
      <c r="E35" s="4" t="s">
        <v>771</v>
      </c>
      <c r="F35" s="4" t="s">
        <v>772</v>
      </c>
      <c r="G35" s="4" t="s">
        <v>110</v>
      </c>
      <c r="H35" s="4" t="s">
        <v>479</v>
      </c>
      <c r="I35" s="4"/>
      <c r="J35" s="4" t="s">
        <v>23</v>
      </c>
      <c r="K35" s="4"/>
      <c r="L35" s="4"/>
      <c r="M35" s="4"/>
      <c r="N35" s="4"/>
      <c r="O35" s="4"/>
    </row>
    <row r="36" customFormat="false" ht="15" hidden="false" customHeight="false" outlineLevel="0" collapsed="false">
      <c r="A36" s="16" t="s">
        <v>773</v>
      </c>
      <c r="B36" s="18" t="s">
        <v>74</v>
      </c>
      <c r="C36" s="4" t="s">
        <v>75</v>
      </c>
      <c r="D36" s="4" t="s">
        <v>502</v>
      </c>
      <c r="E36" s="4" t="s">
        <v>774</v>
      </c>
      <c r="F36" s="4" t="s">
        <v>775</v>
      </c>
      <c r="G36" s="4" t="s">
        <v>110</v>
      </c>
      <c r="H36" s="4" t="s">
        <v>776</v>
      </c>
      <c r="I36" s="4"/>
      <c r="J36" s="4" t="s">
        <v>23</v>
      </c>
      <c r="K36" s="4"/>
      <c r="L36" s="4"/>
      <c r="M36" s="4"/>
      <c r="N36" s="4"/>
      <c r="O36" s="4"/>
    </row>
    <row r="37" customFormat="false" ht="15" hidden="false" customHeight="false" outlineLevel="0" collapsed="false">
      <c r="A37" s="16" t="s">
        <v>777</v>
      </c>
      <c r="B37" s="17" t="s">
        <v>66</v>
      </c>
      <c r="C37" s="4" t="s">
        <v>113</v>
      </c>
      <c r="D37" s="4" t="s">
        <v>778</v>
      </c>
      <c r="E37" s="4" t="s">
        <v>110</v>
      </c>
      <c r="F37" s="4" t="s">
        <v>779</v>
      </c>
      <c r="G37" s="4" t="s">
        <v>110</v>
      </c>
      <c r="H37" s="4" t="s">
        <v>780</v>
      </c>
      <c r="I37" s="4"/>
      <c r="J37" s="4" t="s">
        <v>23</v>
      </c>
      <c r="K37" s="4"/>
      <c r="L37" s="4"/>
      <c r="M37" s="4"/>
      <c r="N37" s="4"/>
      <c r="O37" s="4"/>
    </row>
    <row r="38" customFormat="false" ht="23.85" hidden="false" customHeight="false" outlineLevel="0" collapsed="false">
      <c r="A38" s="16" t="s">
        <v>781</v>
      </c>
      <c r="B38" s="18" t="s">
        <v>74</v>
      </c>
      <c r="C38" s="4" t="s">
        <v>75</v>
      </c>
      <c r="D38" s="4" t="s">
        <v>502</v>
      </c>
      <c r="E38" s="4" t="s">
        <v>782</v>
      </c>
      <c r="F38" s="4" t="s">
        <v>783</v>
      </c>
      <c r="G38" s="4" t="s">
        <v>110</v>
      </c>
      <c r="H38" s="4" t="s">
        <v>784</v>
      </c>
      <c r="I38" s="4"/>
      <c r="J38" s="4" t="s">
        <v>23</v>
      </c>
      <c r="K38" s="4"/>
      <c r="L38" s="4"/>
      <c r="M38" s="4"/>
      <c r="N38" s="4"/>
      <c r="O38" s="4"/>
    </row>
  </sheetData>
  <autoFilter ref="A3:O38"/>
  <mergeCells count="2">
    <mergeCell ref="A1:O1"/>
    <mergeCell ref="A2:O2"/>
  </mergeCells>
  <conditionalFormatting sqref="J4:J38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38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38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38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38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785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515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35.05" hidden="false" customHeight="false" outlineLevel="0" collapsed="false">
      <c r="A4" s="16" t="s">
        <v>786</v>
      </c>
      <c r="B4" s="17" t="s">
        <v>66</v>
      </c>
      <c r="C4" s="4" t="s">
        <v>67</v>
      </c>
      <c r="D4" s="4" t="s">
        <v>787</v>
      </c>
      <c r="E4" s="4" t="s">
        <v>228</v>
      </c>
      <c r="F4" s="4" t="s">
        <v>788</v>
      </c>
      <c r="G4" s="4" t="s">
        <v>789</v>
      </c>
      <c r="H4" s="4" t="s">
        <v>790</v>
      </c>
      <c r="I4" s="4"/>
      <c r="J4" s="4" t="s">
        <v>23</v>
      </c>
      <c r="K4" s="4"/>
      <c r="L4" s="4"/>
      <c r="M4" s="4"/>
      <c r="N4" s="4"/>
      <c r="O4" s="4"/>
    </row>
    <row r="5" customFormat="false" ht="15" hidden="false" customHeight="false" outlineLevel="0" collapsed="false">
      <c r="A5" s="16" t="s">
        <v>791</v>
      </c>
      <c r="B5" s="17" t="s">
        <v>66</v>
      </c>
      <c r="C5" s="4" t="s">
        <v>67</v>
      </c>
      <c r="D5" s="4" t="s">
        <v>787</v>
      </c>
      <c r="E5" s="4" t="s">
        <v>110</v>
      </c>
      <c r="F5" s="4" t="s">
        <v>792</v>
      </c>
      <c r="G5" s="4" t="s">
        <v>110</v>
      </c>
      <c r="H5" s="4" t="s">
        <v>793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794</v>
      </c>
      <c r="B6" s="18" t="s">
        <v>74</v>
      </c>
      <c r="C6" s="4" t="s">
        <v>75</v>
      </c>
      <c r="D6" s="4" t="s">
        <v>787</v>
      </c>
      <c r="E6" s="4" t="s">
        <v>795</v>
      </c>
      <c r="F6" s="4" t="s">
        <v>796</v>
      </c>
      <c r="G6" s="4" t="s">
        <v>110</v>
      </c>
      <c r="H6" s="4" t="s">
        <v>264</v>
      </c>
      <c r="I6" s="4"/>
      <c r="J6" s="4" t="s">
        <v>23</v>
      </c>
      <c r="K6" s="4"/>
      <c r="L6" s="4"/>
      <c r="M6" s="4"/>
      <c r="N6" s="4"/>
      <c r="O6" s="4"/>
    </row>
    <row r="7" customFormat="false" ht="15" hidden="false" customHeight="false" outlineLevel="0" collapsed="false">
      <c r="A7" s="16" t="s">
        <v>797</v>
      </c>
      <c r="B7" s="18" t="s">
        <v>74</v>
      </c>
      <c r="C7" s="4" t="s">
        <v>67</v>
      </c>
      <c r="D7" s="4" t="s">
        <v>787</v>
      </c>
      <c r="E7" s="4" t="s">
        <v>110</v>
      </c>
      <c r="F7" s="4" t="s">
        <v>798</v>
      </c>
      <c r="G7" s="4" t="s">
        <v>799</v>
      </c>
      <c r="H7" s="4" t="s">
        <v>800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801</v>
      </c>
      <c r="B8" s="18" t="s">
        <v>74</v>
      </c>
      <c r="C8" s="4" t="s">
        <v>75</v>
      </c>
      <c r="D8" s="4" t="s">
        <v>787</v>
      </c>
      <c r="E8" s="4" t="s">
        <v>802</v>
      </c>
      <c r="F8" s="4" t="s">
        <v>220</v>
      </c>
      <c r="G8" s="4" t="s">
        <v>110</v>
      </c>
      <c r="H8" s="4" t="s">
        <v>26</v>
      </c>
      <c r="I8" s="4"/>
      <c r="J8" s="4" t="s">
        <v>23</v>
      </c>
      <c r="K8" s="4"/>
      <c r="L8" s="4"/>
      <c r="M8" s="4"/>
      <c r="N8" s="4"/>
      <c r="O8" s="4"/>
    </row>
    <row r="9" customFormat="false" ht="15" hidden="false" customHeight="false" outlineLevel="0" collapsed="false">
      <c r="A9" s="16" t="s">
        <v>803</v>
      </c>
      <c r="B9" s="18" t="s">
        <v>74</v>
      </c>
      <c r="C9" s="4" t="s">
        <v>113</v>
      </c>
      <c r="D9" s="4" t="s">
        <v>787</v>
      </c>
      <c r="E9" s="4" t="s">
        <v>804</v>
      </c>
      <c r="F9" s="4" t="s">
        <v>805</v>
      </c>
      <c r="G9" s="4" t="s">
        <v>806</v>
      </c>
      <c r="H9" s="4" t="s">
        <v>807</v>
      </c>
      <c r="I9" s="4"/>
      <c r="J9" s="4" t="s">
        <v>23</v>
      </c>
      <c r="K9" s="4"/>
      <c r="L9" s="4"/>
      <c r="M9" s="4"/>
      <c r="N9" s="4"/>
      <c r="O9" s="4"/>
    </row>
    <row r="10" customFormat="false" ht="15" hidden="false" customHeight="false" outlineLevel="0" collapsed="false">
      <c r="A10" s="16" t="s">
        <v>808</v>
      </c>
      <c r="B10" s="18" t="s">
        <v>74</v>
      </c>
      <c r="C10" s="4" t="s">
        <v>67</v>
      </c>
      <c r="D10" s="4" t="s">
        <v>809</v>
      </c>
      <c r="E10" s="4" t="s">
        <v>110</v>
      </c>
      <c r="F10" s="4" t="s">
        <v>810</v>
      </c>
      <c r="G10" s="4" t="s">
        <v>110</v>
      </c>
      <c r="H10" s="4" t="s">
        <v>811</v>
      </c>
      <c r="I10" s="4"/>
      <c r="J10" s="4" t="s">
        <v>23</v>
      </c>
      <c r="K10" s="4"/>
      <c r="L10" s="4"/>
      <c r="M10" s="4"/>
      <c r="N10" s="4"/>
      <c r="O10" s="4"/>
    </row>
    <row r="11" customFormat="false" ht="15" hidden="false" customHeight="false" outlineLevel="0" collapsed="false">
      <c r="A11" s="16" t="s">
        <v>812</v>
      </c>
      <c r="B11" s="19" t="s">
        <v>86</v>
      </c>
      <c r="C11" s="4" t="s">
        <v>67</v>
      </c>
      <c r="D11" s="4" t="s">
        <v>809</v>
      </c>
      <c r="E11" s="4" t="s">
        <v>110</v>
      </c>
      <c r="F11" s="4" t="s">
        <v>813</v>
      </c>
      <c r="G11" s="4" t="s">
        <v>814</v>
      </c>
      <c r="H11" s="4" t="s">
        <v>815</v>
      </c>
      <c r="I11" s="4"/>
      <c r="J11" s="4" t="s">
        <v>23</v>
      </c>
      <c r="K11" s="4"/>
      <c r="L11" s="4"/>
      <c r="M11" s="4"/>
      <c r="N11" s="4"/>
      <c r="O11" s="4"/>
    </row>
    <row r="12" customFormat="false" ht="15" hidden="false" customHeight="false" outlineLevel="0" collapsed="false">
      <c r="A12" s="16" t="s">
        <v>816</v>
      </c>
      <c r="B12" s="19" t="s">
        <v>86</v>
      </c>
      <c r="C12" s="4" t="s">
        <v>75</v>
      </c>
      <c r="D12" s="4" t="s">
        <v>809</v>
      </c>
      <c r="E12" s="4" t="s">
        <v>110</v>
      </c>
      <c r="F12" s="4" t="s">
        <v>817</v>
      </c>
      <c r="G12" s="4" t="s">
        <v>110</v>
      </c>
      <c r="H12" s="4" t="s">
        <v>264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818</v>
      </c>
      <c r="B13" s="19" t="s">
        <v>86</v>
      </c>
      <c r="C13" s="4" t="s">
        <v>67</v>
      </c>
      <c r="D13" s="4" t="s">
        <v>819</v>
      </c>
      <c r="E13" s="4" t="s">
        <v>110</v>
      </c>
      <c r="F13" s="4" t="s">
        <v>820</v>
      </c>
      <c r="G13" s="4" t="s">
        <v>110</v>
      </c>
      <c r="H13" s="4" t="s">
        <v>821</v>
      </c>
      <c r="I13" s="4"/>
      <c r="J13" s="4" t="s">
        <v>23</v>
      </c>
      <c r="K13" s="4"/>
      <c r="L13" s="4"/>
      <c r="M13" s="4"/>
      <c r="N13" s="4"/>
      <c r="O13" s="4"/>
    </row>
    <row r="14" customFormat="false" ht="15" hidden="false" customHeight="false" outlineLevel="0" collapsed="false">
      <c r="A14" s="16" t="s">
        <v>822</v>
      </c>
      <c r="B14" s="19" t="s">
        <v>86</v>
      </c>
      <c r="C14" s="4" t="s">
        <v>113</v>
      </c>
      <c r="D14" s="4" t="s">
        <v>819</v>
      </c>
      <c r="E14" s="4" t="s">
        <v>823</v>
      </c>
      <c r="F14" s="4" t="s">
        <v>824</v>
      </c>
      <c r="G14" s="4" t="s">
        <v>110</v>
      </c>
      <c r="H14" s="4" t="s">
        <v>825</v>
      </c>
      <c r="I14" s="4"/>
      <c r="J14" s="4" t="s">
        <v>23</v>
      </c>
      <c r="K14" s="4"/>
      <c r="L14" s="4"/>
      <c r="M14" s="4"/>
      <c r="N14" s="4"/>
      <c r="O14" s="4"/>
    </row>
    <row r="15" customFormat="false" ht="15" hidden="false" customHeight="false" outlineLevel="0" collapsed="false">
      <c r="A15" s="16" t="s">
        <v>826</v>
      </c>
      <c r="B15" s="19" t="s">
        <v>86</v>
      </c>
      <c r="C15" s="4" t="s">
        <v>67</v>
      </c>
      <c r="D15" s="4" t="s">
        <v>819</v>
      </c>
      <c r="E15" s="4" t="s">
        <v>110</v>
      </c>
      <c r="F15" s="4" t="s">
        <v>827</v>
      </c>
      <c r="G15" s="4" t="s">
        <v>110</v>
      </c>
      <c r="H15" s="4" t="s">
        <v>828</v>
      </c>
      <c r="I15" s="4"/>
      <c r="J15" s="4" t="s">
        <v>23</v>
      </c>
      <c r="K15" s="4"/>
      <c r="L15" s="4"/>
      <c r="M15" s="4"/>
      <c r="N15" s="4"/>
      <c r="O15" s="4"/>
    </row>
    <row r="16" customFormat="false" ht="15" hidden="false" customHeight="false" outlineLevel="0" collapsed="false">
      <c r="A16" s="16" t="s">
        <v>829</v>
      </c>
      <c r="B16" s="17" t="s">
        <v>66</v>
      </c>
      <c r="C16" s="4" t="s">
        <v>67</v>
      </c>
      <c r="D16" s="4" t="s">
        <v>830</v>
      </c>
      <c r="E16" s="4" t="s">
        <v>228</v>
      </c>
      <c r="F16" s="4" t="s">
        <v>831</v>
      </c>
      <c r="G16" s="4" t="s">
        <v>110</v>
      </c>
      <c r="H16" s="4" t="s">
        <v>832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833</v>
      </c>
      <c r="B17" s="18" t="s">
        <v>74</v>
      </c>
      <c r="C17" s="4" t="s">
        <v>67</v>
      </c>
      <c r="D17" s="4" t="s">
        <v>830</v>
      </c>
      <c r="E17" s="4" t="s">
        <v>511</v>
      </c>
      <c r="F17" s="4" t="s">
        <v>834</v>
      </c>
      <c r="G17" s="4" t="s">
        <v>110</v>
      </c>
      <c r="H17" s="4" t="s">
        <v>835</v>
      </c>
      <c r="I17" s="4"/>
      <c r="J17" s="4" t="s">
        <v>23</v>
      </c>
      <c r="K17" s="4"/>
      <c r="L17" s="4"/>
      <c r="M17" s="4"/>
      <c r="N17" s="4"/>
      <c r="O17" s="4"/>
    </row>
    <row r="18" customFormat="false" ht="15" hidden="false" customHeight="false" outlineLevel="0" collapsed="false">
      <c r="A18" s="16" t="s">
        <v>836</v>
      </c>
      <c r="B18" s="19" t="s">
        <v>86</v>
      </c>
      <c r="C18" s="4" t="s">
        <v>67</v>
      </c>
      <c r="D18" s="4" t="s">
        <v>830</v>
      </c>
      <c r="E18" s="4" t="s">
        <v>110</v>
      </c>
      <c r="F18" s="4" t="s">
        <v>837</v>
      </c>
      <c r="G18" s="4" t="s">
        <v>110</v>
      </c>
      <c r="H18" s="4" t="s">
        <v>838</v>
      </c>
      <c r="I18" s="4"/>
      <c r="J18" s="4" t="s">
        <v>23</v>
      </c>
      <c r="K18" s="4"/>
      <c r="L18" s="4"/>
      <c r="M18" s="4"/>
      <c r="N18" s="4"/>
      <c r="O18" s="4"/>
    </row>
    <row r="19" customFormat="false" ht="15" hidden="false" customHeight="false" outlineLevel="0" collapsed="false">
      <c r="A19" s="16" t="s">
        <v>839</v>
      </c>
      <c r="B19" s="18" t="s">
        <v>74</v>
      </c>
      <c r="C19" s="4" t="s">
        <v>75</v>
      </c>
      <c r="D19" s="4" t="s">
        <v>830</v>
      </c>
      <c r="E19" s="4" t="s">
        <v>840</v>
      </c>
      <c r="F19" s="4" t="s">
        <v>841</v>
      </c>
      <c r="G19" s="4" t="s">
        <v>110</v>
      </c>
      <c r="H19" s="4" t="s">
        <v>26</v>
      </c>
      <c r="I19" s="4"/>
      <c r="J19" s="4" t="s">
        <v>23</v>
      </c>
      <c r="K19" s="4"/>
      <c r="L19" s="4"/>
      <c r="M19" s="4"/>
      <c r="N19" s="4"/>
      <c r="O19" s="4"/>
    </row>
    <row r="20" customFormat="false" ht="15" hidden="false" customHeight="false" outlineLevel="0" collapsed="false">
      <c r="A20" s="16" t="s">
        <v>842</v>
      </c>
      <c r="B20" s="17" t="s">
        <v>66</v>
      </c>
      <c r="C20" s="4" t="s">
        <v>67</v>
      </c>
      <c r="D20" s="4" t="s">
        <v>843</v>
      </c>
      <c r="E20" s="4" t="s">
        <v>844</v>
      </c>
      <c r="F20" s="4" t="s">
        <v>845</v>
      </c>
      <c r="G20" s="4" t="s">
        <v>110</v>
      </c>
      <c r="H20" s="4" t="s">
        <v>846</v>
      </c>
      <c r="I20" s="4"/>
      <c r="J20" s="4" t="s">
        <v>23</v>
      </c>
      <c r="K20" s="4"/>
      <c r="L20" s="4"/>
      <c r="M20" s="4"/>
      <c r="N20" s="4"/>
      <c r="O20" s="4"/>
    </row>
    <row r="21" customFormat="false" ht="15" hidden="false" customHeight="false" outlineLevel="0" collapsed="false">
      <c r="A21" s="16" t="s">
        <v>847</v>
      </c>
      <c r="B21" s="17" t="s">
        <v>66</v>
      </c>
      <c r="C21" s="4" t="s">
        <v>113</v>
      </c>
      <c r="D21" s="4" t="s">
        <v>843</v>
      </c>
      <c r="E21" s="4" t="s">
        <v>848</v>
      </c>
      <c r="F21" s="4" t="s">
        <v>849</v>
      </c>
      <c r="G21" s="4" t="s">
        <v>110</v>
      </c>
      <c r="H21" s="4" t="s">
        <v>850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851</v>
      </c>
      <c r="B22" s="18" t="s">
        <v>74</v>
      </c>
      <c r="C22" s="4" t="s">
        <v>75</v>
      </c>
      <c r="D22" s="4" t="s">
        <v>843</v>
      </c>
      <c r="E22" s="4" t="s">
        <v>852</v>
      </c>
      <c r="F22" s="4" t="s">
        <v>853</v>
      </c>
      <c r="G22" s="4" t="s">
        <v>110</v>
      </c>
      <c r="H22" s="4" t="s">
        <v>26</v>
      </c>
      <c r="I22" s="4"/>
      <c r="J22" s="4" t="s">
        <v>23</v>
      </c>
      <c r="K22" s="4"/>
      <c r="L22" s="4"/>
      <c r="M22" s="4"/>
      <c r="N22" s="4"/>
      <c r="O22" s="4"/>
    </row>
    <row r="23" customFormat="false" ht="23.85" hidden="false" customHeight="false" outlineLevel="0" collapsed="false">
      <c r="A23" s="16" t="s">
        <v>854</v>
      </c>
      <c r="B23" s="17" t="s">
        <v>66</v>
      </c>
      <c r="C23" s="4" t="s">
        <v>113</v>
      </c>
      <c r="D23" s="4" t="s">
        <v>855</v>
      </c>
      <c r="E23" s="4" t="s">
        <v>856</v>
      </c>
      <c r="F23" s="4" t="s">
        <v>857</v>
      </c>
      <c r="G23" s="4" t="s">
        <v>110</v>
      </c>
      <c r="H23" s="4" t="s">
        <v>858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859</v>
      </c>
      <c r="B24" s="17" t="s">
        <v>66</v>
      </c>
      <c r="C24" s="4" t="s">
        <v>113</v>
      </c>
      <c r="D24" s="4" t="s">
        <v>860</v>
      </c>
      <c r="E24" s="4" t="s">
        <v>861</v>
      </c>
      <c r="F24" s="4" t="s">
        <v>862</v>
      </c>
      <c r="G24" s="4" t="s">
        <v>863</v>
      </c>
      <c r="H24" s="4" t="s">
        <v>864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865</v>
      </c>
      <c r="B25" s="17" t="s">
        <v>66</v>
      </c>
      <c r="C25" s="4" t="s">
        <v>75</v>
      </c>
      <c r="D25" s="4" t="s">
        <v>860</v>
      </c>
      <c r="E25" s="4" t="s">
        <v>866</v>
      </c>
      <c r="F25" s="4" t="s">
        <v>867</v>
      </c>
      <c r="G25" s="4" t="s">
        <v>110</v>
      </c>
      <c r="H25" s="4" t="s">
        <v>868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869</v>
      </c>
      <c r="B26" s="18" t="s">
        <v>74</v>
      </c>
      <c r="C26" s="4" t="s">
        <v>67</v>
      </c>
      <c r="D26" s="4" t="s">
        <v>870</v>
      </c>
      <c r="E26" s="4" t="s">
        <v>871</v>
      </c>
      <c r="F26" s="4" t="s">
        <v>872</v>
      </c>
      <c r="G26" s="4" t="s">
        <v>110</v>
      </c>
      <c r="H26" s="4" t="s">
        <v>873</v>
      </c>
      <c r="I26" s="4"/>
      <c r="J26" s="4" t="s">
        <v>23</v>
      </c>
      <c r="K26" s="4"/>
      <c r="L26" s="4"/>
      <c r="M26" s="4"/>
      <c r="N26" s="4"/>
      <c r="O26" s="4"/>
    </row>
    <row r="27" customFormat="false" ht="15" hidden="false" customHeight="false" outlineLevel="0" collapsed="false">
      <c r="A27" s="16" t="s">
        <v>874</v>
      </c>
      <c r="B27" s="18" t="s">
        <v>74</v>
      </c>
      <c r="C27" s="4" t="s">
        <v>67</v>
      </c>
      <c r="D27" s="4" t="s">
        <v>870</v>
      </c>
      <c r="E27" s="4" t="s">
        <v>875</v>
      </c>
      <c r="F27" s="4" t="s">
        <v>876</v>
      </c>
      <c r="G27" s="4" t="s">
        <v>110</v>
      </c>
      <c r="H27" s="4" t="s">
        <v>877</v>
      </c>
      <c r="I27" s="4"/>
      <c r="J27" s="4" t="s">
        <v>23</v>
      </c>
      <c r="K27" s="4"/>
      <c r="L27" s="4"/>
      <c r="M27" s="4"/>
      <c r="N27" s="4"/>
      <c r="O27" s="4"/>
    </row>
    <row r="28" customFormat="false" ht="23.85" hidden="false" customHeight="false" outlineLevel="0" collapsed="false">
      <c r="A28" s="16" t="s">
        <v>878</v>
      </c>
      <c r="B28" s="17" t="s">
        <v>66</v>
      </c>
      <c r="C28" s="4" t="s">
        <v>113</v>
      </c>
      <c r="D28" s="4" t="s">
        <v>879</v>
      </c>
      <c r="E28" s="4" t="s">
        <v>880</v>
      </c>
      <c r="F28" s="4" t="s">
        <v>881</v>
      </c>
      <c r="G28" s="4" t="s">
        <v>110</v>
      </c>
      <c r="H28" s="4" t="s">
        <v>882</v>
      </c>
      <c r="I28" s="4"/>
      <c r="J28" s="4" t="s">
        <v>23</v>
      </c>
      <c r="K28" s="4"/>
      <c r="L28" s="4"/>
      <c r="M28" s="4"/>
      <c r="N28" s="4"/>
      <c r="O28" s="4"/>
    </row>
    <row r="29" customFormat="false" ht="15" hidden="false" customHeight="false" outlineLevel="0" collapsed="false">
      <c r="A29" s="16" t="s">
        <v>883</v>
      </c>
      <c r="B29" s="17" t="s">
        <v>66</v>
      </c>
      <c r="C29" s="4" t="s">
        <v>113</v>
      </c>
      <c r="D29" s="4" t="s">
        <v>879</v>
      </c>
      <c r="E29" s="4" t="s">
        <v>884</v>
      </c>
      <c r="F29" s="4" t="s">
        <v>885</v>
      </c>
      <c r="G29" s="4" t="s">
        <v>110</v>
      </c>
      <c r="H29" s="4" t="s">
        <v>886</v>
      </c>
      <c r="I29" s="4"/>
      <c r="J29" s="4" t="s">
        <v>23</v>
      </c>
      <c r="K29" s="4"/>
      <c r="L29" s="4"/>
      <c r="M29" s="4"/>
      <c r="N29" s="4"/>
      <c r="O29" s="4"/>
    </row>
    <row r="30" customFormat="false" ht="15" hidden="false" customHeight="false" outlineLevel="0" collapsed="false">
      <c r="A30" s="16" t="s">
        <v>887</v>
      </c>
      <c r="B30" s="17" t="s">
        <v>66</v>
      </c>
      <c r="C30" s="4" t="s">
        <v>113</v>
      </c>
      <c r="D30" s="4" t="s">
        <v>888</v>
      </c>
      <c r="E30" s="4" t="s">
        <v>889</v>
      </c>
      <c r="F30" s="4" t="s">
        <v>890</v>
      </c>
      <c r="G30" s="4" t="s">
        <v>110</v>
      </c>
      <c r="H30" s="4" t="s">
        <v>891</v>
      </c>
      <c r="I30" s="4"/>
      <c r="J30" s="4" t="s">
        <v>23</v>
      </c>
      <c r="K30" s="4"/>
      <c r="L30" s="4"/>
      <c r="M30" s="4"/>
      <c r="N30" s="4"/>
      <c r="O30" s="4"/>
    </row>
    <row r="31" customFormat="false" ht="15" hidden="false" customHeight="false" outlineLevel="0" collapsed="false">
      <c r="A31" s="16" t="s">
        <v>892</v>
      </c>
      <c r="B31" s="17" t="s">
        <v>66</v>
      </c>
      <c r="C31" s="4" t="s">
        <v>67</v>
      </c>
      <c r="D31" s="4" t="s">
        <v>741</v>
      </c>
      <c r="E31" s="4" t="s">
        <v>893</v>
      </c>
      <c r="F31" s="4" t="s">
        <v>894</v>
      </c>
      <c r="G31" s="4" t="s">
        <v>110</v>
      </c>
      <c r="H31" s="4" t="s">
        <v>895</v>
      </c>
      <c r="I31" s="4"/>
      <c r="J31" s="4" t="s">
        <v>23</v>
      </c>
      <c r="K31" s="4"/>
      <c r="L31" s="4"/>
      <c r="M31" s="4"/>
      <c r="N31" s="4"/>
      <c r="O31" s="4"/>
    </row>
    <row r="32" customFormat="false" ht="15" hidden="false" customHeight="false" outlineLevel="0" collapsed="false">
      <c r="A32" s="16" t="s">
        <v>896</v>
      </c>
      <c r="B32" s="18" t="s">
        <v>74</v>
      </c>
      <c r="C32" s="4" t="s">
        <v>75</v>
      </c>
      <c r="D32" s="4" t="s">
        <v>741</v>
      </c>
      <c r="E32" s="4" t="s">
        <v>110</v>
      </c>
      <c r="F32" s="4" t="s">
        <v>897</v>
      </c>
      <c r="G32" s="4" t="s">
        <v>110</v>
      </c>
      <c r="H32" s="4" t="s">
        <v>264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898</v>
      </c>
      <c r="B33" s="18" t="s">
        <v>74</v>
      </c>
      <c r="C33" s="4" t="s">
        <v>67</v>
      </c>
      <c r="D33" s="4" t="s">
        <v>741</v>
      </c>
      <c r="E33" s="4" t="s">
        <v>899</v>
      </c>
      <c r="F33" s="4" t="s">
        <v>900</v>
      </c>
      <c r="G33" s="4" t="s">
        <v>110</v>
      </c>
      <c r="H33" s="4" t="s">
        <v>901</v>
      </c>
      <c r="I33" s="4"/>
      <c r="J33" s="4" t="s">
        <v>23</v>
      </c>
      <c r="K33" s="4"/>
      <c r="L33" s="4"/>
      <c r="M33" s="4"/>
      <c r="N33" s="4"/>
      <c r="O33" s="4"/>
    </row>
    <row r="34" customFormat="false" ht="15" hidden="false" customHeight="false" outlineLevel="0" collapsed="false">
      <c r="A34" s="16" t="s">
        <v>902</v>
      </c>
      <c r="B34" s="18" t="s">
        <v>74</v>
      </c>
      <c r="C34" s="4" t="s">
        <v>113</v>
      </c>
      <c r="D34" s="4" t="s">
        <v>741</v>
      </c>
      <c r="E34" s="4" t="s">
        <v>903</v>
      </c>
      <c r="F34" s="4" t="s">
        <v>904</v>
      </c>
      <c r="G34" s="4" t="s">
        <v>110</v>
      </c>
      <c r="H34" s="4" t="s">
        <v>905</v>
      </c>
      <c r="I34" s="4"/>
      <c r="J34" s="4" t="s">
        <v>23</v>
      </c>
      <c r="K34" s="4"/>
      <c r="L34" s="4"/>
      <c r="M34" s="4"/>
      <c r="N34" s="4"/>
      <c r="O34" s="4"/>
    </row>
    <row r="35" customFormat="false" ht="15" hidden="false" customHeight="false" outlineLevel="0" collapsed="false">
      <c r="A35" s="16" t="s">
        <v>906</v>
      </c>
      <c r="B35" s="18" t="s">
        <v>74</v>
      </c>
      <c r="C35" s="4" t="s">
        <v>67</v>
      </c>
      <c r="D35" s="4" t="s">
        <v>907</v>
      </c>
      <c r="E35" s="4" t="s">
        <v>908</v>
      </c>
      <c r="F35" s="4" t="s">
        <v>909</v>
      </c>
      <c r="G35" s="4" t="s">
        <v>910</v>
      </c>
      <c r="H35" s="4" t="s">
        <v>911</v>
      </c>
      <c r="I35" s="4"/>
      <c r="J35" s="4" t="s">
        <v>23</v>
      </c>
      <c r="K35" s="4"/>
      <c r="L35" s="4"/>
      <c r="M35" s="4"/>
      <c r="N35" s="4"/>
      <c r="O35" s="4"/>
    </row>
    <row r="36" customFormat="false" ht="15" hidden="false" customHeight="false" outlineLevel="0" collapsed="false">
      <c r="A36" s="16" t="s">
        <v>912</v>
      </c>
      <c r="B36" s="18" t="s">
        <v>74</v>
      </c>
      <c r="C36" s="4" t="s">
        <v>113</v>
      </c>
      <c r="D36" s="4" t="s">
        <v>907</v>
      </c>
      <c r="E36" s="4" t="s">
        <v>913</v>
      </c>
      <c r="F36" s="4" t="s">
        <v>914</v>
      </c>
      <c r="G36" s="4" t="s">
        <v>110</v>
      </c>
      <c r="H36" s="4" t="s">
        <v>915</v>
      </c>
      <c r="I36" s="4"/>
      <c r="J36" s="4" t="s">
        <v>23</v>
      </c>
      <c r="K36" s="4"/>
      <c r="L36" s="4"/>
      <c r="M36" s="4"/>
      <c r="N36" s="4"/>
      <c r="O36" s="4"/>
    </row>
    <row r="37" customFormat="false" ht="15" hidden="false" customHeight="false" outlineLevel="0" collapsed="false">
      <c r="A37" s="16" t="s">
        <v>916</v>
      </c>
      <c r="B37" s="19" t="s">
        <v>86</v>
      </c>
      <c r="C37" s="4" t="s">
        <v>67</v>
      </c>
      <c r="D37" s="4" t="s">
        <v>907</v>
      </c>
      <c r="E37" s="4" t="s">
        <v>110</v>
      </c>
      <c r="F37" s="4" t="s">
        <v>917</v>
      </c>
      <c r="G37" s="4" t="s">
        <v>110</v>
      </c>
      <c r="H37" s="4" t="s">
        <v>918</v>
      </c>
      <c r="I37" s="4"/>
      <c r="J37" s="4" t="s">
        <v>23</v>
      </c>
      <c r="K37" s="4"/>
      <c r="L37" s="4"/>
      <c r="M37" s="4"/>
      <c r="N37" s="4"/>
      <c r="O37" s="4"/>
    </row>
    <row r="38" customFormat="false" ht="15" hidden="false" customHeight="false" outlineLevel="0" collapsed="false">
      <c r="A38" s="16" t="s">
        <v>919</v>
      </c>
      <c r="B38" s="19" t="s">
        <v>86</v>
      </c>
      <c r="C38" s="4" t="s">
        <v>67</v>
      </c>
      <c r="D38" s="4" t="s">
        <v>907</v>
      </c>
      <c r="E38" s="4" t="s">
        <v>920</v>
      </c>
      <c r="F38" s="4" t="s">
        <v>921</v>
      </c>
      <c r="G38" s="4" t="s">
        <v>110</v>
      </c>
      <c r="H38" s="4" t="s">
        <v>922</v>
      </c>
      <c r="I38" s="4"/>
      <c r="J38" s="4" t="s">
        <v>23</v>
      </c>
      <c r="K38" s="4"/>
      <c r="L38" s="4"/>
      <c r="M38" s="4"/>
      <c r="N38" s="4"/>
      <c r="O38" s="4"/>
    </row>
    <row r="39" customFormat="false" ht="15" hidden="false" customHeight="false" outlineLevel="0" collapsed="false">
      <c r="A39" s="16" t="s">
        <v>923</v>
      </c>
      <c r="B39" s="17" t="s">
        <v>66</v>
      </c>
      <c r="C39" s="4" t="s">
        <v>113</v>
      </c>
      <c r="D39" s="4" t="s">
        <v>924</v>
      </c>
      <c r="E39" s="4" t="s">
        <v>925</v>
      </c>
      <c r="F39" s="4" t="s">
        <v>926</v>
      </c>
      <c r="G39" s="4" t="s">
        <v>110</v>
      </c>
      <c r="H39" s="4" t="s">
        <v>927</v>
      </c>
      <c r="I39" s="4"/>
      <c r="J39" s="4" t="s">
        <v>23</v>
      </c>
      <c r="K39" s="4"/>
      <c r="L39" s="4"/>
      <c r="M39" s="4"/>
      <c r="N39" s="4"/>
      <c r="O39" s="4"/>
    </row>
    <row r="40" customFormat="false" ht="15" hidden="false" customHeight="false" outlineLevel="0" collapsed="false">
      <c r="A40" s="16" t="s">
        <v>928</v>
      </c>
      <c r="B40" s="17" t="s">
        <v>66</v>
      </c>
      <c r="C40" s="4" t="s">
        <v>113</v>
      </c>
      <c r="D40" s="4" t="s">
        <v>924</v>
      </c>
      <c r="E40" s="4" t="s">
        <v>110</v>
      </c>
      <c r="F40" s="4" t="s">
        <v>929</v>
      </c>
      <c r="G40" s="4" t="s">
        <v>110</v>
      </c>
      <c r="H40" s="4" t="s">
        <v>638</v>
      </c>
      <c r="I40" s="4"/>
      <c r="J40" s="4" t="s">
        <v>23</v>
      </c>
      <c r="K40" s="4"/>
      <c r="L40" s="4"/>
      <c r="M40" s="4"/>
      <c r="N40" s="4"/>
      <c r="O40" s="4"/>
    </row>
    <row r="41" customFormat="false" ht="15" hidden="false" customHeight="false" outlineLevel="0" collapsed="false">
      <c r="A41" s="16" t="s">
        <v>930</v>
      </c>
      <c r="B41" s="18" t="s">
        <v>74</v>
      </c>
      <c r="C41" s="4" t="s">
        <v>113</v>
      </c>
      <c r="D41" s="4" t="s">
        <v>924</v>
      </c>
      <c r="E41" s="4" t="s">
        <v>931</v>
      </c>
      <c r="F41" s="4" t="s">
        <v>932</v>
      </c>
      <c r="G41" s="4" t="s">
        <v>110</v>
      </c>
      <c r="H41" s="4" t="s">
        <v>933</v>
      </c>
      <c r="I41" s="4"/>
      <c r="J41" s="4" t="s">
        <v>23</v>
      </c>
      <c r="K41" s="4"/>
      <c r="L41" s="4"/>
      <c r="M41" s="4"/>
      <c r="N41" s="4"/>
      <c r="O41" s="4"/>
    </row>
    <row r="42" customFormat="false" ht="15" hidden="false" customHeight="false" outlineLevel="0" collapsed="false">
      <c r="A42" s="16" t="s">
        <v>934</v>
      </c>
      <c r="B42" s="18" t="s">
        <v>74</v>
      </c>
      <c r="C42" s="4" t="s">
        <v>67</v>
      </c>
      <c r="D42" s="4" t="s">
        <v>924</v>
      </c>
      <c r="E42" s="4" t="s">
        <v>935</v>
      </c>
      <c r="F42" s="4" t="s">
        <v>936</v>
      </c>
      <c r="G42" s="4" t="s">
        <v>110</v>
      </c>
      <c r="H42" s="4" t="s">
        <v>937</v>
      </c>
      <c r="I42" s="4"/>
      <c r="J42" s="4" t="s">
        <v>23</v>
      </c>
      <c r="K42" s="4"/>
      <c r="L42" s="4"/>
      <c r="M42" s="4"/>
      <c r="N42" s="4"/>
      <c r="O42" s="4"/>
    </row>
    <row r="43" customFormat="false" ht="15" hidden="false" customHeight="false" outlineLevel="0" collapsed="false">
      <c r="A43" s="16" t="s">
        <v>938</v>
      </c>
      <c r="B43" s="19" t="s">
        <v>86</v>
      </c>
      <c r="C43" s="4" t="s">
        <v>113</v>
      </c>
      <c r="D43" s="4" t="s">
        <v>924</v>
      </c>
      <c r="E43" s="4" t="s">
        <v>939</v>
      </c>
      <c r="F43" s="4" t="s">
        <v>940</v>
      </c>
      <c r="G43" s="4" t="s">
        <v>110</v>
      </c>
      <c r="H43" s="4" t="s">
        <v>941</v>
      </c>
      <c r="I43" s="4"/>
      <c r="J43" s="4" t="s">
        <v>23</v>
      </c>
      <c r="K43" s="4"/>
      <c r="L43" s="4"/>
      <c r="M43" s="4"/>
      <c r="N43" s="4"/>
      <c r="O43" s="4"/>
    </row>
  </sheetData>
  <autoFilter ref="A3:O43"/>
  <mergeCells count="2">
    <mergeCell ref="A1:O1"/>
    <mergeCell ref="A2:O2"/>
  </mergeCells>
  <conditionalFormatting sqref="J4:J4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43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43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43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43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942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943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35.05" hidden="false" customHeight="false" outlineLevel="0" collapsed="false">
      <c r="A4" s="16" t="s">
        <v>944</v>
      </c>
      <c r="B4" s="17" t="s">
        <v>66</v>
      </c>
      <c r="C4" s="4" t="s">
        <v>67</v>
      </c>
      <c r="D4" s="4" t="s">
        <v>945</v>
      </c>
      <c r="E4" s="4" t="s">
        <v>228</v>
      </c>
      <c r="F4" s="4" t="s">
        <v>946</v>
      </c>
      <c r="G4" s="4" t="s">
        <v>947</v>
      </c>
      <c r="H4" s="4" t="s">
        <v>948</v>
      </c>
      <c r="I4" s="4"/>
      <c r="J4" s="4" t="s">
        <v>23</v>
      </c>
      <c r="K4" s="4"/>
      <c r="L4" s="4"/>
      <c r="M4" s="4"/>
      <c r="N4" s="4"/>
      <c r="O4" s="4"/>
    </row>
    <row r="5" customFormat="false" ht="15" hidden="false" customHeight="false" outlineLevel="0" collapsed="false">
      <c r="A5" s="16" t="s">
        <v>949</v>
      </c>
      <c r="B5" s="17" t="s">
        <v>66</v>
      </c>
      <c r="C5" s="4" t="s">
        <v>67</v>
      </c>
      <c r="D5" s="4" t="s">
        <v>945</v>
      </c>
      <c r="E5" s="4" t="s">
        <v>110</v>
      </c>
      <c r="F5" s="4" t="s">
        <v>950</v>
      </c>
      <c r="G5" s="4" t="s">
        <v>110</v>
      </c>
      <c r="H5" s="4" t="s">
        <v>951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952</v>
      </c>
      <c r="B6" s="18" t="s">
        <v>74</v>
      </c>
      <c r="C6" s="4" t="s">
        <v>75</v>
      </c>
      <c r="D6" s="4" t="s">
        <v>945</v>
      </c>
      <c r="E6" s="4" t="s">
        <v>953</v>
      </c>
      <c r="F6" s="4" t="s">
        <v>954</v>
      </c>
      <c r="G6" s="4" t="s">
        <v>110</v>
      </c>
      <c r="H6" s="4" t="s">
        <v>264</v>
      </c>
      <c r="I6" s="4"/>
      <c r="J6" s="4" t="s">
        <v>23</v>
      </c>
      <c r="K6" s="4"/>
      <c r="L6" s="4"/>
      <c r="M6" s="4"/>
      <c r="N6" s="4"/>
      <c r="O6" s="4"/>
    </row>
    <row r="7" customFormat="false" ht="15" hidden="false" customHeight="false" outlineLevel="0" collapsed="false">
      <c r="A7" s="16" t="s">
        <v>955</v>
      </c>
      <c r="B7" s="18" t="s">
        <v>74</v>
      </c>
      <c r="C7" s="4" t="s">
        <v>67</v>
      </c>
      <c r="D7" s="4" t="s">
        <v>945</v>
      </c>
      <c r="E7" s="4" t="s">
        <v>110</v>
      </c>
      <c r="F7" s="4" t="s">
        <v>956</v>
      </c>
      <c r="G7" s="4" t="s">
        <v>110</v>
      </c>
      <c r="H7" s="4" t="s">
        <v>957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958</v>
      </c>
      <c r="B8" s="19" t="s">
        <v>86</v>
      </c>
      <c r="C8" s="4" t="s">
        <v>67</v>
      </c>
      <c r="D8" s="4" t="s">
        <v>959</v>
      </c>
      <c r="E8" s="4" t="s">
        <v>110</v>
      </c>
      <c r="F8" s="4" t="s">
        <v>960</v>
      </c>
      <c r="G8" s="4" t="s">
        <v>110</v>
      </c>
      <c r="H8" s="4" t="s">
        <v>961</v>
      </c>
      <c r="I8" s="4"/>
      <c r="J8" s="4" t="s">
        <v>23</v>
      </c>
      <c r="K8" s="4"/>
      <c r="L8" s="4"/>
      <c r="M8" s="4"/>
      <c r="N8" s="4"/>
      <c r="O8" s="4"/>
    </row>
    <row r="9" customFormat="false" ht="15" hidden="false" customHeight="false" outlineLevel="0" collapsed="false">
      <c r="A9" s="16" t="s">
        <v>962</v>
      </c>
      <c r="B9" s="17" t="s">
        <v>66</v>
      </c>
      <c r="C9" s="4" t="s">
        <v>113</v>
      </c>
      <c r="D9" s="4" t="s">
        <v>963</v>
      </c>
      <c r="E9" s="4" t="s">
        <v>964</v>
      </c>
      <c r="F9" s="4" t="s">
        <v>965</v>
      </c>
      <c r="G9" s="4" t="s">
        <v>110</v>
      </c>
      <c r="H9" s="4" t="s">
        <v>966</v>
      </c>
      <c r="I9" s="4"/>
      <c r="J9" s="4" t="s">
        <v>23</v>
      </c>
      <c r="K9" s="4"/>
      <c r="L9" s="4"/>
      <c r="M9" s="4"/>
      <c r="N9" s="4"/>
      <c r="O9" s="4"/>
    </row>
    <row r="10" customFormat="false" ht="15" hidden="false" customHeight="false" outlineLevel="0" collapsed="false">
      <c r="A10" s="16" t="s">
        <v>967</v>
      </c>
      <c r="B10" s="17" t="s">
        <v>66</v>
      </c>
      <c r="C10" s="4" t="s">
        <v>113</v>
      </c>
      <c r="D10" s="4" t="s">
        <v>963</v>
      </c>
      <c r="E10" s="4" t="s">
        <v>964</v>
      </c>
      <c r="F10" s="4" t="s">
        <v>968</v>
      </c>
      <c r="G10" s="4" t="s">
        <v>110</v>
      </c>
      <c r="H10" s="4" t="s">
        <v>969</v>
      </c>
      <c r="I10" s="4"/>
      <c r="J10" s="4" t="s">
        <v>23</v>
      </c>
      <c r="K10" s="4"/>
      <c r="L10" s="4"/>
      <c r="M10" s="4"/>
      <c r="N10" s="4"/>
      <c r="O10" s="4"/>
    </row>
    <row r="11" customFormat="false" ht="15" hidden="false" customHeight="false" outlineLevel="0" collapsed="false">
      <c r="A11" s="16" t="s">
        <v>970</v>
      </c>
      <c r="B11" s="18" t="s">
        <v>74</v>
      </c>
      <c r="C11" s="4" t="s">
        <v>113</v>
      </c>
      <c r="D11" s="4" t="s">
        <v>963</v>
      </c>
      <c r="E11" s="4" t="s">
        <v>376</v>
      </c>
      <c r="F11" s="4" t="s">
        <v>971</v>
      </c>
      <c r="G11" s="4" t="s">
        <v>110</v>
      </c>
      <c r="H11" s="4" t="s">
        <v>972</v>
      </c>
      <c r="I11" s="4"/>
      <c r="J11" s="4" t="s">
        <v>23</v>
      </c>
      <c r="K11" s="4"/>
      <c r="L11" s="4"/>
      <c r="M11" s="4"/>
      <c r="N11" s="4"/>
      <c r="O11" s="4"/>
    </row>
    <row r="12" customFormat="false" ht="15" hidden="false" customHeight="false" outlineLevel="0" collapsed="false">
      <c r="A12" s="16" t="s">
        <v>973</v>
      </c>
      <c r="B12" s="18" t="s">
        <v>74</v>
      </c>
      <c r="C12" s="4" t="s">
        <v>113</v>
      </c>
      <c r="D12" s="4" t="s">
        <v>963</v>
      </c>
      <c r="E12" s="4" t="s">
        <v>110</v>
      </c>
      <c r="F12" s="4" t="s">
        <v>974</v>
      </c>
      <c r="G12" s="4" t="s">
        <v>110</v>
      </c>
      <c r="H12" s="4" t="s">
        <v>975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976</v>
      </c>
      <c r="B13" s="18" t="s">
        <v>74</v>
      </c>
      <c r="C13" s="4" t="s">
        <v>113</v>
      </c>
      <c r="D13" s="4" t="s">
        <v>963</v>
      </c>
      <c r="E13" s="4" t="s">
        <v>977</v>
      </c>
      <c r="F13" s="4" t="s">
        <v>978</v>
      </c>
      <c r="G13" s="4" t="s">
        <v>110</v>
      </c>
      <c r="H13" s="4" t="s">
        <v>979</v>
      </c>
      <c r="I13" s="4"/>
      <c r="J13" s="4" t="s">
        <v>23</v>
      </c>
      <c r="K13" s="4"/>
      <c r="L13" s="4"/>
      <c r="M13" s="4"/>
      <c r="N13" s="4"/>
      <c r="O13" s="4"/>
    </row>
    <row r="14" customFormat="false" ht="15" hidden="false" customHeight="false" outlineLevel="0" collapsed="false">
      <c r="A14" s="16" t="s">
        <v>980</v>
      </c>
      <c r="B14" s="18" t="s">
        <v>74</v>
      </c>
      <c r="C14" s="4" t="s">
        <v>113</v>
      </c>
      <c r="D14" s="4" t="s">
        <v>963</v>
      </c>
      <c r="E14" s="4" t="s">
        <v>981</v>
      </c>
      <c r="F14" s="4" t="s">
        <v>982</v>
      </c>
      <c r="G14" s="4" t="s">
        <v>110</v>
      </c>
      <c r="H14" s="4" t="s">
        <v>983</v>
      </c>
      <c r="I14" s="4"/>
      <c r="J14" s="4" t="s">
        <v>23</v>
      </c>
      <c r="K14" s="4"/>
      <c r="L14" s="4"/>
      <c r="M14" s="4"/>
      <c r="N14" s="4"/>
      <c r="O14" s="4"/>
    </row>
    <row r="15" customFormat="false" ht="23.85" hidden="false" customHeight="false" outlineLevel="0" collapsed="false">
      <c r="A15" s="16" t="s">
        <v>984</v>
      </c>
      <c r="B15" s="17" t="s">
        <v>66</v>
      </c>
      <c r="C15" s="4" t="s">
        <v>113</v>
      </c>
      <c r="D15" s="4" t="s">
        <v>985</v>
      </c>
      <c r="E15" s="4" t="s">
        <v>986</v>
      </c>
      <c r="F15" s="4" t="s">
        <v>987</v>
      </c>
      <c r="G15" s="4" t="s">
        <v>110</v>
      </c>
      <c r="H15" s="4" t="s">
        <v>988</v>
      </c>
      <c r="I15" s="4"/>
      <c r="J15" s="4" t="s">
        <v>23</v>
      </c>
      <c r="K15" s="4"/>
      <c r="L15" s="4"/>
      <c r="M15" s="4"/>
      <c r="N15" s="4"/>
      <c r="O15" s="4"/>
    </row>
    <row r="16" customFormat="false" ht="15" hidden="false" customHeight="false" outlineLevel="0" collapsed="false">
      <c r="A16" s="16" t="s">
        <v>989</v>
      </c>
      <c r="B16" s="17" t="s">
        <v>66</v>
      </c>
      <c r="C16" s="4" t="s">
        <v>113</v>
      </c>
      <c r="D16" s="4" t="s">
        <v>990</v>
      </c>
      <c r="E16" s="4" t="s">
        <v>110</v>
      </c>
      <c r="F16" s="4" t="s">
        <v>991</v>
      </c>
      <c r="G16" s="4" t="s">
        <v>110</v>
      </c>
      <c r="H16" s="4" t="s">
        <v>479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992</v>
      </c>
      <c r="B17" s="17" t="s">
        <v>66</v>
      </c>
      <c r="C17" s="4" t="s">
        <v>113</v>
      </c>
      <c r="D17" s="4" t="s">
        <v>990</v>
      </c>
      <c r="E17" s="4" t="s">
        <v>110</v>
      </c>
      <c r="F17" s="4" t="s">
        <v>993</v>
      </c>
      <c r="G17" s="4" t="s">
        <v>110</v>
      </c>
      <c r="H17" s="4" t="s">
        <v>994</v>
      </c>
      <c r="I17" s="4"/>
      <c r="J17" s="4" t="s">
        <v>23</v>
      </c>
      <c r="K17" s="4"/>
      <c r="L17" s="4"/>
      <c r="M17" s="4"/>
      <c r="N17" s="4"/>
      <c r="O17" s="4"/>
    </row>
    <row r="18" customFormat="false" ht="23.85" hidden="false" customHeight="false" outlineLevel="0" collapsed="false">
      <c r="A18" s="16" t="s">
        <v>995</v>
      </c>
      <c r="B18" s="18" t="s">
        <v>74</v>
      </c>
      <c r="C18" s="4" t="s">
        <v>67</v>
      </c>
      <c r="D18" s="4" t="s">
        <v>990</v>
      </c>
      <c r="E18" s="4" t="s">
        <v>110</v>
      </c>
      <c r="F18" s="4" t="s">
        <v>996</v>
      </c>
      <c r="G18" s="4" t="s">
        <v>110</v>
      </c>
      <c r="H18" s="4" t="s">
        <v>997</v>
      </c>
      <c r="I18" s="4"/>
      <c r="J18" s="4" t="s">
        <v>23</v>
      </c>
      <c r="K18" s="4"/>
      <c r="L18" s="4"/>
      <c r="M18" s="4"/>
      <c r="N18" s="4"/>
      <c r="O18" s="4"/>
    </row>
    <row r="19" customFormat="false" ht="15" hidden="false" customHeight="false" outlineLevel="0" collapsed="false">
      <c r="A19" s="16" t="s">
        <v>998</v>
      </c>
      <c r="B19" s="18" t="s">
        <v>74</v>
      </c>
      <c r="C19" s="4" t="s">
        <v>67</v>
      </c>
      <c r="D19" s="4" t="s">
        <v>999</v>
      </c>
      <c r="E19" s="4" t="s">
        <v>110</v>
      </c>
      <c r="F19" s="4" t="s">
        <v>1000</v>
      </c>
      <c r="G19" s="4" t="s">
        <v>110</v>
      </c>
      <c r="H19" s="4" t="s">
        <v>1001</v>
      </c>
      <c r="I19" s="4"/>
      <c r="J19" s="4" t="s">
        <v>23</v>
      </c>
      <c r="K19" s="4"/>
      <c r="L19" s="4"/>
      <c r="M19" s="4"/>
      <c r="N19" s="4"/>
      <c r="O19" s="4"/>
    </row>
    <row r="20" customFormat="false" ht="15" hidden="false" customHeight="false" outlineLevel="0" collapsed="false">
      <c r="A20" s="16" t="s">
        <v>1002</v>
      </c>
      <c r="B20" s="18" t="s">
        <v>74</v>
      </c>
      <c r="C20" s="4" t="s">
        <v>67</v>
      </c>
      <c r="D20" s="4" t="s">
        <v>999</v>
      </c>
      <c r="E20" s="4" t="s">
        <v>110</v>
      </c>
      <c r="F20" s="4" t="s">
        <v>1003</v>
      </c>
      <c r="G20" s="4" t="s">
        <v>110</v>
      </c>
      <c r="H20" s="4" t="s">
        <v>1004</v>
      </c>
      <c r="I20" s="4"/>
      <c r="J20" s="4" t="s">
        <v>23</v>
      </c>
      <c r="K20" s="4"/>
      <c r="L20" s="4"/>
      <c r="M20" s="4"/>
      <c r="N20" s="4"/>
      <c r="O20" s="4"/>
    </row>
    <row r="21" customFormat="false" ht="15" hidden="false" customHeight="false" outlineLevel="0" collapsed="false">
      <c r="A21" s="16" t="s">
        <v>1005</v>
      </c>
      <c r="B21" s="19" t="s">
        <v>86</v>
      </c>
      <c r="C21" s="4" t="s">
        <v>67</v>
      </c>
      <c r="D21" s="4" t="s">
        <v>999</v>
      </c>
      <c r="E21" s="4" t="s">
        <v>110</v>
      </c>
      <c r="F21" s="4" t="s">
        <v>1006</v>
      </c>
      <c r="G21" s="4" t="s">
        <v>110</v>
      </c>
      <c r="H21" s="4" t="s">
        <v>1007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1008</v>
      </c>
      <c r="B22" s="19" t="s">
        <v>86</v>
      </c>
      <c r="C22" s="4" t="s">
        <v>67</v>
      </c>
      <c r="D22" s="4" t="s">
        <v>999</v>
      </c>
      <c r="E22" s="4" t="s">
        <v>1009</v>
      </c>
      <c r="F22" s="4" t="s">
        <v>1010</v>
      </c>
      <c r="G22" s="4" t="s">
        <v>110</v>
      </c>
      <c r="H22" s="4" t="s">
        <v>1011</v>
      </c>
      <c r="I22" s="4"/>
      <c r="J22" s="4" t="s">
        <v>23</v>
      </c>
      <c r="K22" s="4"/>
      <c r="L22" s="4"/>
      <c r="M22" s="4"/>
      <c r="N22" s="4"/>
      <c r="O22" s="4"/>
    </row>
    <row r="23" customFormat="false" ht="15" hidden="false" customHeight="false" outlineLevel="0" collapsed="false">
      <c r="A23" s="16" t="s">
        <v>1012</v>
      </c>
      <c r="B23" s="17" t="s">
        <v>66</v>
      </c>
      <c r="C23" s="4" t="s">
        <v>67</v>
      </c>
      <c r="D23" s="4" t="s">
        <v>1013</v>
      </c>
      <c r="E23" s="4" t="s">
        <v>1014</v>
      </c>
      <c r="F23" s="4" t="s">
        <v>1015</v>
      </c>
      <c r="G23" s="4" t="s">
        <v>110</v>
      </c>
      <c r="H23" s="4" t="s">
        <v>1016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1017</v>
      </c>
      <c r="B24" s="17" t="s">
        <v>66</v>
      </c>
      <c r="C24" s="4" t="s">
        <v>75</v>
      </c>
      <c r="D24" s="4" t="s">
        <v>1013</v>
      </c>
      <c r="E24" s="4" t="s">
        <v>1018</v>
      </c>
      <c r="F24" s="4" t="s">
        <v>1019</v>
      </c>
      <c r="G24" s="4" t="s">
        <v>110</v>
      </c>
      <c r="H24" s="4" t="s">
        <v>1020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1021</v>
      </c>
      <c r="B25" s="17" t="s">
        <v>66</v>
      </c>
      <c r="C25" s="4" t="s">
        <v>75</v>
      </c>
      <c r="D25" s="4" t="s">
        <v>1013</v>
      </c>
      <c r="E25" s="4" t="s">
        <v>1022</v>
      </c>
      <c r="F25" s="4" t="s">
        <v>1019</v>
      </c>
      <c r="G25" s="4" t="s">
        <v>110</v>
      </c>
      <c r="H25" s="4" t="s">
        <v>1023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1024</v>
      </c>
      <c r="B26" s="17" t="s">
        <v>66</v>
      </c>
      <c r="C26" s="4" t="s">
        <v>75</v>
      </c>
      <c r="D26" s="4" t="s">
        <v>1013</v>
      </c>
      <c r="E26" s="4" t="s">
        <v>466</v>
      </c>
      <c r="F26" s="4" t="s">
        <v>1025</v>
      </c>
      <c r="G26" s="4" t="s">
        <v>110</v>
      </c>
      <c r="H26" s="4" t="s">
        <v>26</v>
      </c>
      <c r="I26" s="4"/>
      <c r="J26" s="4" t="s">
        <v>23</v>
      </c>
      <c r="K26" s="4"/>
      <c r="L26" s="4"/>
      <c r="M26" s="4"/>
      <c r="N26" s="4"/>
      <c r="O26" s="4"/>
    </row>
    <row r="27" customFormat="false" ht="15" hidden="false" customHeight="false" outlineLevel="0" collapsed="false">
      <c r="A27" s="16" t="s">
        <v>1026</v>
      </c>
      <c r="B27" s="17" t="s">
        <v>66</v>
      </c>
      <c r="C27" s="4" t="s">
        <v>92</v>
      </c>
      <c r="D27" s="4" t="s">
        <v>1013</v>
      </c>
      <c r="E27" s="4" t="s">
        <v>1027</v>
      </c>
      <c r="F27" s="4" t="s">
        <v>249</v>
      </c>
      <c r="G27" s="4" t="s">
        <v>110</v>
      </c>
      <c r="H27" s="4" t="s">
        <v>1028</v>
      </c>
      <c r="I27" s="4"/>
      <c r="J27" s="4" t="s">
        <v>23</v>
      </c>
      <c r="K27" s="4"/>
      <c r="L27" s="4"/>
      <c r="M27" s="4"/>
      <c r="N27" s="4"/>
      <c r="O27" s="4"/>
    </row>
    <row r="28" customFormat="false" ht="23.85" hidden="false" customHeight="false" outlineLevel="0" collapsed="false">
      <c r="A28" s="16" t="s">
        <v>1029</v>
      </c>
      <c r="B28" s="17" t="s">
        <v>66</v>
      </c>
      <c r="C28" s="4" t="s">
        <v>113</v>
      </c>
      <c r="D28" s="4" t="s">
        <v>1030</v>
      </c>
      <c r="E28" s="4" t="s">
        <v>1031</v>
      </c>
      <c r="F28" s="4" t="s">
        <v>1032</v>
      </c>
      <c r="G28" s="4" t="s">
        <v>110</v>
      </c>
      <c r="H28" s="4" t="s">
        <v>1033</v>
      </c>
      <c r="I28" s="4"/>
      <c r="J28" s="4" t="s">
        <v>23</v>
      </c>
      <c r="K28" s="4"/>
      <c r="L28" s="4"/>
      <c r="M28" s="4"/>
      <c r="N28" s="4"/>
      <c r="O28" s="4"/>
    </row>
    <row r="29" customFormat="false" ht="15" hidden="false" customHeight="false" outlineLevel="0" collapsed="false">
      <c r="A29" s="16" t="s">
        <v>1034</v>
      </c>
      <c r="B29" s="18" t="s">
        <v>74</v>
      </c>
      <c r="C29" s="4" t="s">
        <v>67</v>
      </c>
      <c r="D29" s="4" t="s">
        <v>1030</v>
      </c>
      <c r="E29" s="4" t="s">
        <v>1035</v>
      </c>
      <c r="F29" s="4" t="s">
        <v>1036</v>
      </c>
      <c r="G29" s="4" t="s">
        <v>110</v>
      </c>
      <c r="H29" s="4" t="s">
        <v>1037</v>
      </c>
      <c r="I29" s="4"/>
      <c r="J29" s="4" t="s">
        <v>23</v>
      </c>
      <c r="K29" s="4"/>
      <c r="L29" s="4"/>
      <c r="M29" s="4"/>
      <c r="N29" s="4"/>
      <c r="O29" s="4"/>
    </row>
    <row r="30" customFormat="false" ht="23.85" hidden="false" customHeight="false" outlineLevel="0" collapsed="false">
      <c r="A30" s="16" t="s">
        <v>1038</v>
      </c>
      <c r="B30" s="18" t="s">
        <v>74</v>
      </c>
      <c r="C30" s="4" t="s">
        <v>113</v>
      </c>
      <c r="D30" s="4" t="s">
        <v>1030</v>
      </c>
      <c r="E30" s="4" t="s">
        <v>110</v>
      </c>
      <c r="F30" s="4" t="s">
        <v>1039</v>
      </c>
      <c r="G30" s="4" t="s">
        <v>110</v>
      </c>
      <c r="H30" s="4" t="s">
        <v>1040</v>
      </c>
      <c r="I30" s="4"/>
      <c r="J30" s="4" t="s">
        <v>23</v>
      </c>
      <c r="K30" s="4"/>
      <c r="L30" s="4"/>
      <c r="M30" s="4"/>
      <c r="N30" s="4"/>
      <c r="O30" s="4"/>
    </row>
    <row r="31" customFormat="false" ht="23.85" hidden="false" customHeight="false" outlineLevel="0" collapsed="false">
      <c r="A31" s="16" t="s">
        <v>1041</v>
      </c>
      <c r="B31" s="17" t="s">
        <v>66</v>
      </c>
      <c r="C31" s="4" t="s">
        <v>113</v>
      </c>
      <c r="D31" s="4" t="s">
        <v>1042</v>
      </c>
      <c r="E31" s="4" t="s">
        <v>110</v>
      </c>
      <c r="F31" s="4" t="s">
        <v>1043</v>
      </c>
      <c r="G31" s="4" t="s">
        <v>110</v>
      </c>
      <c r="H31" s="4" t="s">
        <v>1044</v>
      </c>
      <c r="I31" s="4"/>
      <c r="J31" s="4" t="s">
        <v>23</v>
      </c>
      <c r="K31" s="4"/>
      <c r="L31" s="4"/>
      <c r="M31" s="4"/>
      <c r="N31" s="4"/>
      <c r="O31" s="4"/>
    </row>
    <row r="32" customFormat="false" ht="23.85" hidden="false" customHeight="false" outlineLevel="0" collapsed="false">
      <c r="A32" s="16" t="s">
        <v>1045</v>
      </c>
      <c r="B32" s="17" t="s">
        <v>66</v>
      </c>
      <c r="C32" s="4" t="s">
        <v>113</v>
      </c>
      <c r="D32" s="4" t="s">
        <v>1046</v>
      </c>
      <c r="E32" s="4" t="s">
        <v>110</v>
      </c>
      <c r="F32" s="4" t="s">
        <v>1047</v>
      </c>
      <c r="G32" s="4" t="s">
        <v>110</v>
      </c>
      <c r="H32" s="4" t="s">
        <v>1048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1049</v>
      </c>
      <c r="B33" s="17" t="s">
        <v>66</v>
      </c>
      <c r="C33" s="4" t="s">
        <v>113</v>
      </c>
      <c r="D33" s="4" t="s">
        <v>1050</v>
      </c>
      <c r="E33" s="4" t="s">
        <v>110</v>
      </c>
      <c r="F33" s="4" t="s">
        <v>1051</v>
      </c>
      <c r="G33" s="4" t="s">
        <v>110</v>
      </c>
      <c r="H33" s="4" t="s">
        <v>1052</v>
      </c>
      <c r="I33" s="4"/>
      <c r="J33" s="4" t="s">
        <v>23</v>
      </c>
      <c r="K33" s="4"/>
      <c r="L33" s="4"/>
      <c r="M33" s="4"/>
      <c r="N33" s="4"/>
      <c r="O33" s="4"/>
    </row>
  </sheetData>
  <autoFilter ref="A3:O33"/>
  <mergeCells count="2">
    <mergeCell ref="A1:O1"/>
    <mergeCell ref="A2:O2"/>
  </mergeCells>
  <conditionalFormatting sqref="J4:J33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33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33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33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33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1053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1054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23.85" hidden="false" customHeight="false" outlineLevel="0" collapsed="false">
      <c r="A4" s="16" t="s">
        <v>1055</v>
      </c>
      <c r="B4" s="18" t="s">
        <v>74</v>
      </c>
      <c r="C4" s="4" t="s">
        <v>67</v>
      </c>
      <c r="D4" s="4" t="s">
        <v>1056</v>
      </c>
      <c r="E4" s="4" t="s">
        <v>1057</v>
      </c>
      <c r="F4" s="4" t="s">
        <v>1058</v>
      </c>
      <c r="G4" s="4" t="s">
        <v>110</v>
      </c>
      <c r="H4" s="4" t="s">
        <v>1059</v>
      </c>
      <c r="I4" s="4"/>
      <c r="J4" s="4" t="s">
        <v>23</v>
      </c>
      <c r="K4" s="4"/>
      <c r="L4" s="4"/>
      <c r="M4" s="4"/>
      <c r="N4" s="4"/>
      <c r="O4" s="4"/>
    </row>
    <row r="5" customFormat="false" ht="15" hidden="false" customHeight="false" outlineLevel="0" collapsed="false">
      <c r="A5" s="16" t="s">
        <v>1060</v>
      </c>
      <c r="B5" s="18" t="s">
        <v>74</v>
      </c>
      <c r="C5" s="4" t="s">
        <v>67</v>
      </c>
      <c r="D5" s="4" t="s">
        <v>1056</v>
      </c>
      <c r="E5" s="4" t="s">
        <v>110</v>
      </c>
      <c r="F5" s="4" t="s">
        <v>1061</v>
      </c>
      <c r="G5" s="4" t="s">
        <v>110</v>
      </c>
      <c r="H5" s="4" t="s">
        <v>1062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1063</v>
      </c>
      <c r="B6" s="18" t="s">
        <v>74</v>
      </c>
      <c r="C6" s="4" t="s">
        <v>113</v>
      </c>
      <c r="D6" s="4" t="s">
        <v>1056</v>
      </c>
      <c r="E6" s="4" t="s">
        <v>1064</v>
      </c>
      <c r="F6" s="4" t="s">
        <v>1065</v>
      </c>
      <c r="G6" s="4" t="s">
        <v>110</v>
      </c>
      <c r="H6" s="4" t="s">
        <v>1066</v>
      </c>
      <c r="I6" s="4"/>
      <c r="J6" s="4" t="s">
        <v>23</v>
      </c>
      <c r="K6" s="4"/>
      <c r="L6" s="4"/>
      <c r="M6" s="4"/>
      <c r="N6" s="4"/>
      <c r="O6" s="4"/>
    </row>
    <row r="7" customFormat="false" ht="15" hidden="false" customHeight="false" outlineLevel="0" collapsed="false">
      <c r="A7" s="16" t="s">
        <v>1067</v>
      </c>
      <c r="B7" s="19" t="s">
        <v>86</v>
      </c>
      <c r="C7" s="4" t="s">
        <v>67</v>
      </c>
      <c r="D7" s="4" t="s">
        <v>1056</v>
      </c>
      <c r="E7" s="4" t="s">
        <v>1068</v>
      </c>
      <c r="F7" s="4" t="s">
        <v>1069</v>
      </c>
      <c r="G7" s="4" t="s">
        <v>110</v>
      </c>
      <c r="H7" s="4" t="s">
        <v>1070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1071</v>
      </c>
      <c r="B8" s="17" t="s">
        <v>66</v>
      </c>
      <c r="C8" s="4" t="s">
        <v>113</v>
      </c>
      <c r="D8" s="4" t="s">
        <v>1072</v>
      </c>
      <c r="E8" s="4" t="s">
        <v>1073</v>
      </c>
      <c r="F8" s="4" t="s">
        <v>1074</v>
      </c>
      <c r="G8" s="4" t="s">
        <v>110</v>
      </c>
      <c r="H8" s="4" t="s">
        <v>1075</v>
      </c>
      <c r="I8" s="4"/>
      <c r="J8" s="4" t="s">
        <v>23</v>
      </c>
      <c r="K8" s="4"/>
      <c r="L8" s="4"/>
      <c r="M8" s="4"/>
      <c r="N8" s="4"/>
      <c r="O8" s="4"/>
    </row>
    <row r="9" customFormat="false" ht="15" hidden="false" customHeight="false" outlineLevel="0" collapsed="false">
      <c r="A9" s="16" t="s">
        <v>1076</v>
      </c>
      <c r="B9" s="18" t="s">
        <v>74</v>
      </c>
      <c r="C9" s="4" t="s">
        <v>67</v>
      </c>
      <c r="D9" s="4" t="s">
        <v>1072</v>
      </c>
      <c r="E9" s="4" t="s">
        <v>110</v>
      </c>
      <c r="F9" s="4" t="s">
        <v>1077</v>
      </c>
      <c r="G9" s="4" t="s">
        <v>110</v>
      </c>
      <c r="H9" s="4" t="s">
        <v>1078</v>
      </c>
      <c r="I9" s="4"/>
      <c r="J9" s="4" t="s">
        <v>23</v>
      </c>
      <c r="K9" s="4"/>
      <c r="L9" s="4"/>
      <c r="M9" s="4"/>
      <c r="N9" s="4"/>
      <c r="O9" s="4"/>
    </row>
    <row r="10" customFormat="false" ht="15" hidden="false" customHeight="false" outlineLevel="0" collapsed="false">
      <c r="A10" s="16" t="s">
        <v>1079</v>
      </c>
      <c r="B10" s="19" t="s">
        <v>86</v>
      </c>
      <c r="C10" s="4" t="s">
        <v>67</v>
      </c>
      <c r="D10" s="4" t="s">
        <v>1072</v>
      </c>
      <c r="E10" s="4" t="s">
        <v>1080</v>
      </c>
      <c r="F10" s="4" t="s">
        <v>1081</v>
      </c>
      <c r="G10" s="4" t="s">
        <v>110</v>
      </c>
      <c r="H10" s="4" t="s">
        <v>1082</v>
      </c>
      <c r="I10" s="4"/>
      <c r="J10" s="4" t="s">
        <v>23</v>
      </c>
      <c r="K10" s="4"/>
      <c r="L10" s="4"/>
      <c r="M10" s="4"/>
      <c r="N10" s="4"/>
      <c r="O10" s="4"/>
    </row>
    <row r="11" customFormat="false" ht="15" hidden="false" customHeight="false" outlineLevel="0" collapsed="false">
      <c r="A11" s="16" t="s">
        <v>1083</v>
      </c>
      <c r="B11" s="18" t="s">
        <v>74</v>
      </c>
      <c r="C11" s="4" t="s">
        <v>67</v>
      </c>
      <c r="D11" s="4" t="s">
        <v>1084</v>
      </c>
      <c r="E11" s="4" t="s">
        <v>110</v>
      </c>
      <c r="F11" s="4" t="s">
        <v>1085</v>
      </c>
      <c r="G11" s="4" t="s">
        <v>110</v>
      </c>
      <c r="H11" s="4" t="s">
        <v>1086</v>
      </c>
      <c r="I11" s="4"/>
      <c r="J11" s="4" t="s">
        <v>23</v>
      </c>
      <c r="K11" s="4"/>
      <c r="L11" s="4"/>
      <c r="M11" s="4"/>
      <c r="N11" s="4"/>
      <c r="O11" s="4"/>
    </row>
    <row r="12" customFormat="false" ht="15" hidden="false" customHeight="false" outlineLevel="0" collapsed="false">
      <c r="A12" s="16" t="s">
        <v>1087</v>
      </c>
      <c r="B12" s="18" t="s">
        <v>74</v>
      </c>
      <c r="C12" s="4" t="s">
        <v>113</v>
      </c>
      <c r="D12" s="4" t="s">
        <v>1084</v>
      </c>
      <c r="E12" s="4" t="s">
        <v>1088</v>
      </c>
      <c r="F12" s="4" t="s">
        <v>1089</v>
      </c>
      <c r="G12" s="4" t="s">
        <v>110</v>
      </c>
      <c r="H12" s="4" t="s">
        <v>1090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1091</v>
      </c>
      <c r="B13" s="19" t="s">
        <v>86</v>
      </c>
      <c r="C13" s="4" t="s">
        <v>67</v>
      </c>
      <c r="D13" s="4" t="s">
        <v>1084</v>
      </c>
      <c r="E13" s="4" t="s">
        <v>110</v>
      </c>
      <c r="F13" s="4" t="s">
        <v>1092</v>
      </c>
      <c r="G13" s="4" t="s">
        <v>110</v>
      </c>
      <c r="H13" s="4" t="s">
        <v>1093</v>
      </c>
      <c r="I13" s="4"/>
      <c r="J13" s="4" t="s">
        <v>23</v>
      </c>
      <c r="K13" s="4"/>
      <c r="L13" s="4"/>
      <c r="M13" s="4"/>
      <c r="N13" s="4"/>
      <c r="O13" s="4"/>
    </row>
    <row r="14" customFormat="false" ht="46.25" hidden="false" customHeight="false" outlineLevel="0" collapsed="false">
      <c r="A14" s="16" t="s">
        <v>1094</v>
      </c>
      <c r="B14" s="18" t="s">
        <v>74</v>
      </c>
      <c r="C14" s="4" t="s">
        <v>67</v>
      </c>
      <c r="D14" s="4" t="s">
        <v>333</v>
      </c>
      <c r="E14" s="4" t="s">
        <v>1095</v>
      </c>
      <c r="F14" s="4" t="s">
        <v>1096</v>
      </c>
      <c r="G14" s="4" t="s">
        <v>110</v>
      </c>
      <c r="H14" s="4" t="s">
        <v>1097</v>
      </c>
      <c r="I14" s="4"/>
      <c r="J14" s="4" t="s">
        <v>23</v>
      </c>
      <c r="K14" s="4"/>
      <c r="L14" s="4"/>
      <c r="M14" s="4"/>
      <c r="N14" s="4"/>
      <c r="O14" s="4"/>
    </row>
    <row r="15" customFormat="false" ht="15" hidden="false" customHeight="false" outlineLevel="0" collapsed="false">
      <c r="A15" s="16" t="s">
        <v>1098</v>
      </c>
      <c r="B15" s="18" t="s">
        <v>74</v>
      </c>
      <c r="C15" s="4" t="s">
        <v>92</v>
      </c>
      <c r="D15" s="4" t="s">
        <v>333</v>
      </c>
      <c r="E15" s="4" t="s">
        <v>110</v>
      </c>
      <c r="F15" s="4" t="s">
        <v>1099</v>
      </c>
      <c r="G15" s="4" t="s">
        <v>110</v>
      </c>
      <c r="H15" s="4" t="s">
        <v>1100</v>
      </c>
      <c r="I15" s="4"/>
      <c r="J15" s="4" t="s">
        <v>23</v>
      </c>
      <c r="K15" s="4"/>
      <c r="L15" s="4"/>
      <c r="M15" s="4"/>
      <c r="N15" s="4"/>
      <c r="O15" s="4"/>
    </row>
    <row r="16" customFormat="false" ht="15" hidden="false" customHeight="false" outlineLevel="0" collapsed="false">
      <c r="A16" s="16" t="s">
        <v>1101</v>
      </c>
      <c r="B16" s="19" t="s">
        <v>86</v>
      </c>
      <c r="C16" s="4" t="s">
        <v>67</v>
      </c>
      <c r="D16" s="4" t="s">
        <v>333</v>
      </c>
      <c r="E16" s="4" t="s">
        <v>1102</v>
      </c>
      <c r="F16" s="4" t="s">
        <v>1103</v>
      </c>
      <c r="G16" s="4" t="s">
        <v>110</v>
      </c>
      <c r="H16" s="4" t="s">
        <v>1104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1105</v>
      </c>
      <c r="B17" s="18" t="s">
        <v>74</v>
      </c>
      <c r="C17" s="4" t="s">
        <v>67</v>
      </c>
      <c r="D17" s="4" t="s">
        <v>1106</v>
      </c>
      <c r="E17" s="4" t="s">
        <v>110</v>
      </c>
      <c r="F17" s="4" t="s">
        <v>1107</v>
      </c>
      <c r="G17" s="4" t="s">
        <v>110</v>
      </c>
      <c r="H17" s="4" t="s">
        <v>1108</v>
      </c>
      <c r="I17" s="4"/>
      <c r="J17" s="4" t="s">
        <v>23</v>
      </c>
      <c r="K17" s="4"/>
      <c r="L17" s="4"/>
      <c r="M17" s="4"/>
      <c r="N17" s="4"/>
      <c r="O17" s="4"/>
    </row>
    <row r="18" customFormat="false" ht="15" hidden="false" customHeight="false" outlineLevel="0" collapsed="false">
      <c r="A18" s="16" t="s">
        <v>1109</v>
      </c>
      <c r="B18" s="18" t="s">
        <v>74</v>
      </c>
      <c r="C18" s="4" t="s">
        <v>113</v>
      </c>
      <c r="D18" s="4" t="s">
        <v>1106</v>
      </c>
      <c r="E18" s="4" t="s">
        <v>1110</v>
      </c>
      <c r="F18" s="4" t="s">
        <v>1111</v>
      </c>
      <c r="G18" s="4" t="s">
        <v>110</v>
      </c>
      <c r="H18" s="4" t="s">
        <v>1112</v>
      </c>
      <c r="I18" s="4"/>
      <c r="J18" s="4" t="s">
        <v>23</v>
      </c>
      <c r="K18" s="4"/>
      <c r="L18" s="4"/>
      <c r="M18" s="4"/>
      <c r="N18" s="4"/>
      <c r="O18" s="4"/>
    </row>
    <row r="19" customFormat="false" ht="15" hidden="false" customHeight="false" outlineLevel="0" collapsed="false">
      <c r="A19" s="16" t="s">
        <v>1113</v>
      </c>
      <c r="B19" s="19" t="s">
        <v>86</v>
      </c>
      <c r="C19" s="4" t="s">
        <v>67</v>
      </c>
      <c r="D19" s="4" t="s">
        <v>1106</v>
      </c>
      <c r="E19" s="4" t="s">
        <v>110</v>
      </c>
      <c r="F19" s="4" t="s">
        <v>1114</v>
      </c>
      <c r="G19" s="4" t="s">
        <v>110</v>
      </c>
      <c r="H19" s="4" t="s">
        <v>1115</v>
      </c>
      <c r="I19" s="4"/>
      <c r="J19" s="4" t="s">
        <v>23</v>
      </c>
      <c r="K19" s="4"/>
      <c r="L19" s="4"/>
      <c r="M19" s="4"/>
      <c r="N19" s="4"/>
      <c r="O19" s="4"/>
    </row>
    <row r="20" customFormat="false" ht="15" hidden="false" customHeight="false" outlineLevel="0" collapsed="false">
      <c r="A20" s="16" t="s">
        <v>1116</v>
      </c>
      <c r="B20" s="17" t="s">
        <v>66</v>
      </c>
      <c r="C20" s="4" t="s">
        <v>113</v>
      </c>
      <c r="D20" s="4" t="s">
        <v>1117</v>
      </c>
      <c r="E20" s="4" t="s">
        <v>1118</v>
      </c>
      <c r="F20" s="4" t="s">
        <v>1119</v>
      </c>
      <c r="G20" s="4" t="s">
        <v>110</v>
      </c>
      <c r="H20" s="4" t="s">
        <v>1120</v>
      </c>
      <c r="I20" s="4"/>
      <c r="J20" s="4" t="s">
        <v>23</v>
      </c>
      <c r="K20" s="4"/>
      <c r="L20" s="4"/>
      <c r="M20" s="4"/>
      <c r="N20" s="4"/>
      <c r="O20" s="4"/>
    </row>
    <row r="21" customFormat="false" ht="23.85" hidden="false" customHeight="false" outlineLevel="0" collapsed="false">
      <c r="A21" s="16" t="s">
        <v>1121</v>
      </c>
      <c r="B21" s="17" t="s">
        <v>66</v>
      </c>
      <c r="C21" s="4" t="s">
        <v>113</v>
      </c>
      <c r="D21" s="4" t="s">
        <v>1117</v>
      </c>
      <c r="E21" s="4" t="s">
        <v>110</v>
      </c>
      <c r="F21" s="4" t="s">
        <v>1122</v>
      </c>
      <c r="G21" s="4" t="s">
        <v>110</v>
      </c>
      <c r="H21" s="4" t="s">
        <v>638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1123</v>
      </c>
      <c r="B22" s="18" t="s">
        <v>74</v>
      </c>
      <c r="C22" s="4" t="s">
        <v>67</v>
      </c>
      <c r="D22" s="4" t="s">
        <v>1117</v>
      </c>
      <c r="E22" s="4" t="s">
        <v>1124</v>
      </c>
      <c r="F22" s="4" t="s">
        <v>1125</v>
      </c>
      <c r="G22" s="4" t="s">
        <v>110</v>
      </c>
      <c r="H22" s="4" t="s">
        <v>1126</v>
      </c>
      <c r="I22" s="4"/>
      <c r="J22" s="4" t="s">
        <v>23</v>
      </c>
      <c r="K22" s="4"/>
      <c r="L22" s="4"/>
      <c r="M22" s="4"/>
      <c r="N22" s="4"/>
      <c r="O22" s="4"/>
    </row>
    <row r="23" customFormat="false" ht="15" hidden="false" customHeight="false" outlineLevel="0" collapsed="false">
      <c r="A23" s="16" t="s">
        <v>1127</v>
      </c>
      <c r="B23" s="18" t="s">
        <v>74</v>
      </c>
      <c r="C23" s="4" t="s">
        <v>67</v>
      </c>
      <c r="D23" s="4" t="s">
        <v>1117</v>
      </c>
      <c r="E23" s="4" t="s">
        <v>1128</v>
      </c>
      <c r="F23" s="4" t="s">
        <v>1129</v>
      </c>
      <c r="G23" s="4" t="s">
        <v>110</v>
      </c>
      <c r="H23" s="4" t="s">
        <v>1130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1131</v>
      </c>
      <c r="B24" s="17" t="s">
        <v>66</v>
      </c>
      <c r="C24" s="4" t="s">
        <v>92</v>
      </c>
      <c r="D24" s="4" t="s">
        <v>1132</v>
      </c>
      <c r="E24" s="4" t="s">
        <v>110</v>
      </c>
      <c r="F24" s="4" t="s">
        <v>1133</v>
      </c>
      <c r="G24" s="4" t="s">
        <v>110</v>
      </c>
      <c r="H24" s="4" t="s">
        <v>1134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1135</v>
      </c>
      <c r="B25" s="18" t="s">
        <v>74</v>
      </c>
      <c r="C25" s="4" t="s">
        <v>113</v>
      </c>
      <c r="D25" s="4" t="s">
        <v>1132</v>
      </c>
      <c r="E25" s="4" t="s">
        <v>1118</v>
      </c>
      <c r="F25" s="4" t="s">
        <v>1136</v>
      </c>
      <c r="G25" s="4" t="s">
        <v>110</v>
      </c>
      <c r="H25" s="4" t="s">
        <v>1137</v>
      </c>
      <c r="I25" s="4"/>
      <c r="J25" s="4" t="s">
        <v>23</v>
      </c>
      <c r="K25" s="4"/>
      <c r="L25" s="4"/>
      <c r="M25" s="4"/>
      <c r="N25" s="4"/>
      <c r="O25" s="4"/>
    </row>
    <row r="26" customFormat="false" ht="15" hidden="false" customHeight="false" outlineLevel="0" collapsed="false">
      <c r="A26" s="16" t="s">
        <v>1138</v>
      </c>
      <c r="B26" s="18" t="s">
        <v>74</v>
      </c>
      <c r="C26" s="4" t="s">
        <v>113</v>
      </c>
      <c r="D26" s="4" t="s">
        <v>1139</v>
      </c>
      <c r="E26" s="4" t="s">
        <v>110</v>
      </c>
      <c r="F26" s="4" t="s">
        <v>1140</v>
      </c>
      <c r="G26" s="4" t="s">
        <v>110</v>
      </c>
      <c r="H26" s="4" t="s">
        <v>1141</v>
      </c>
      <c r="I26" s="4"/>
      <c r="J26" s="4" t="s">
        <v>23</v>
      </c>
      <c r="K26" s="4"/>
      <c r="L26" s="4"/>
      <c r="M26" s="4"/>
      <c r="N26" s="4"/>
      <c r="O26" s="4"/>
    </row>
    <row r="27" customFormat="false" ht="15" hidden="false" customHeight="false" outlineLevel="0" collapsed="false">
      <c r="A27" s="16" t="s">
        <v>1142</v>
      </c>
      <c r="B27" s="17" t="s">
        <v>66</v>
      </c>
      <c r="C27" s="4" t="s">
        <v>92</v>
      </c>
      <c r="D27" s="4" t="s">
        <v>1132</v>
      </c>
      <c r="E27" s="4" t="s">
        <v>110</v>
      </c>
      <c r="F27" s="4" t="s">
        <v>1143</v>
      </c>
      <c r="G27" s="4" t="s">
        <v>110</v>
      </c>
      <c r="H27" s="4" t="s">
        <v>1144</v>
      </c>
      <c r="I27" s="4"/>
      <c r="J27" s="4" t="s">
        <v>23</v>
      </c>
      <c r="K27" s="4"/>
      <c r="L27" s="4"/>
      <c r="M27" s="4"/>
      <c r="N27" s="4"/>
      <c r="O27" s="4"/>
    </row>
    <row r="28" customFormat="false" ht="15" hidden="false" customHeight="false" outlineLevel="0" collapsed="false">
      <c r="A28" s="16" t="s">
        <v>1145</v>
      </c>
      <c r="B28" s="18" t="s">
        <v>74</v>
      </c>
      <c r="C28" s="4" t="s">
        <v>67</v>
      </c>
      <c r="D28" s="4" t="s">
        <v>1146</v>
      </c>
      <c r="E28" s="4" t="s">
        <v>1147</v>
      </c>
      <c r="F28" s="4" t="s">
        <v>1148</v>
      </c>
      <c r="G28" s="4" t="s">
        <v>110</v>
      </c>
      <c r="H28" s="4" t="s">
        <v>1149</v>
      </c>
      <c r="I28" s="4"/>
      <c r="J28" s="4" t="s">
        <v>23</v>
      </c>
      <c r="K28" s="4"/>
      <c r="L28" s="4"/>
      <c r="M28" s="4"/>
      <c r="N28" s="4"/>
      <c r="O28" s="4"/>
    </row>
  </sheetData>
  <autoFilter ref="A3:O28"/>
  <mergeCells count="2">
    <mergeCell ref="A1:O1"/>
    <mergeCell ref="A2:O2"/>
  </mergeCells>
  <conditionalFormatting sqref="J4:J28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28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28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28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28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3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5" t="s">
        <v>1150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15" t="s">
        <v>1151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36" hidden="false" customHeight="tru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  <c r="N3" s="6" t="s">
        <v>63</v>
      </c>
      <c r="O3" s="6" t="s">
        <v>64</v>
      </c>
    </row>
    <row r="4" customFormat="false" ht="15" hidden="false" customHeight="false" outlineLevel="0" collapsed="false">
      <c r="A4" s="16" t="s">
        <v>1152</v>
      </c>
      <c r="B4" s="19" t="s">
        <v>86</v>
      </c>
      <c r="C4" s="4" t="s">
        <v>67</v>
      </c>
      <c r="D4" s="4" t="s">
        <v>1153</v>
      </c>
      <c r="E4" s="4" t="s">
        <v>110</v>
      </c>
      <c r="F4" s="4" t="s">
        <v>1154</v>
      </c>
      <c r="G4" s="4" t="s">
        <v>110</v>
      </c>
      <c r="H4" s="4" t="s">
        <v>1155</v>
      </c>
      <c r="I4" s="4"/>
      <c r="J4" s="4" t="s">
        <v>23</v>
      </c>
      <c r="K4" s="4"/>
      <c r="L4" s="4"/>
      <c r="M4" s="4"/>
      <c r="N4" s="4"/>
      <c r="O4" s="4"/>
    </row>
    <row r="5" customFormat="false" ht="35.05" hidden="false" customHeight="false" outlineLevel="0" collapsed="false">
      <c r="A5" s="16" t="s">
        <v>1156</v>
      </c>
      <c r="B5" s="19" t="s">
        <v>86</v>
      </c>
      <c r="C5" s="4" t="s">
        <v>67</v>
      </c>
      <c r="D5" s="4" t="s">
        <v>1153</v>
      </c>
      <c r="E5" s="4" t="s">
        <v>1157</v>
      </c>
      <c r="F5" s="4" t="s">
        <v>1158</v>
      </c>
      <c r="G5" s="4" t="s">
        <v>110</v>
      </c>
      <c r="H5" s="4" t="s">
        <v>1159</v>
      </c>
      <c r="I5" s="4"/>
      <c r="J5" s="4" t="s">
        <v>23</v>
      </c>
      <c r="K5" s="4"/>
      <c r="L5" s="4"/>
      <c r="M5" s="4"/>
      <c r="N5" s="4"/>
      <c r="O5" s="4"/>
    </row>
    <row r="6" customFormat="false" ht="15" hidden="false" customHeight="false" outlineLevel="0" collapsed="false">
      <c r="A6" s="16" t="s">
        <v>1160</v>
      </c>
      <c r="B6" s="19" t="s">
        <v>86</v>
      </c>
      <c r="C6" s="4" t="s">
        <v>67</v>
      </c>
      <c r="D6" s="4" t="s">
        <v>1153</v>
      </c>
      <c r="E6" s="4" t="s">
        <v>110</v>
      </c>
      <c r="F6" s="4" t="s">
        <v>1161</v>
      </c>
      <c r="G6" s="4" t="s">
        <v>110</v>
      </c>
      <c r="H6" s="4" t="s">
        <v>1162</v>
      </c>
      <c r="I6" s="4"/>
      <c r="J6" s="4" t="s">
        <v>23</v>
      </c>
      <c r="K6" s="4"/>
      <c r="L6" s="4"/>
      <c r="M6" s="4"/>
      <c r="N6" s="4"/>
      <c r="O6" s="4"/>
    </row>
    <row r="7" customFormat="false" ht="15" hidden="false" customHeight="false" outlineLevel="0" collapsed="false">
      <c r="A7" s="16" t="s">
        <v>1163</v>
      </c>
      <c r="B7" s="19" t="s">
        <v>86</v>
      </c>
      <c r="C7" s="4" t="s">
        <v>67</v>
      </c>
      <c r="D7" s="4" t="s">
        <v>1153</v>
      </c>
      <c r="E7" s="4" t="s">
        <v>110</v>
      </c>
      <c r="F7" s="4" t="s">
        <v>1164</v>
      </c>
      <c r="G7" s="4" t="s">
        <v>110</v>
      </c>
      <c r="H7" s="4" t="s">
        <v>1165</v>
      </c>
      <c r="I7" s="4"/>
      <c r="J7" s="4" t="s">
        <v>23</v>
      </c>
      <c r="K7" s="4"/>
      <c r="L7" s="4"/>
      <c r="M7" s="4"/>
      <c r="N7" s="4"/>
      <c r="O7" s="4"/>
    </row>
    <row r="8" customFormat="false" ht="15" hidden="false" customHeight="false" outlineLevel="0" collapsed="false">
      <c r="A8" s="16" t="s">
        <v>1166</v>
      </c>
      <c r="B8" s="19" t="s">
        <v>86</v>
      </c>
      <c r="C8" s="4" t="s">
        <v>67</v>
      </c>
      <c r="D8" s="4" t="s">
        <v>1153</v>
      </c>
      <c r="E8" s="4" t="s">
        <v>110</v>
      </c>
      <c r="F8" s="4" t="s">
        <v>1167</v>
      </c>
      <c r="G8" s="4" t="s">
        <v>110</v>
      </c>
      <c r="H8" s="4" t="s">
        <v>1168</v>
      </c>
      <c r="I8" s="4"/>
      <c r="J8" s="4" t="s">
        <v>23</v>
      </c>
      <c r="K8" s="4"/>
      <c r="L8" s="4"/>
      <c r="M8" s="4"/>
      <c r="N8" s="4"/>
      <c r="O8" s="4"/>
    </row>
    <row r="9" customFormat="false" ht="15" hidden="false" customHeight="false" outlineLevel="0" collapsed="false">
      <c r="A9" s="16" t="s">
        <v>1169</v>
      </c>
      <c r="B9" s="19" t="s">
        <v>86</v>
      </c>
      <c r="C9" s="4" t="s">
        <v>67</v>
      </c>
      <c r="D9" s="4" t="s">
        <v>1153</v>
      </c>
      <c r="E9" s="4" t="s">
        <v>110</v>
      </c>
      <c r="F9" s="4" t="s">
        <v>1170</v>
      </c>
      <c r="G9" s="4" t="s">
        <v>110</v>
      </c>
      <c r="H9" s="4" t="s">
        <v>1171</v>
      </c>
      <c r="I9" s="4"/>
      <c r="J9" s="4" t="s">
        <v>23</v>
      </c>
      <c r="K9" s="4"/>
      <c r="L9" s="4"/>
      <c r="M9" s="4"/>
      <c r="N9" s="4"/>
      <c r="O9" s="4"/>
    </row>
    <row r="10" customFormat="false" ht="15" hidden="false" customHeight="false" outlineLevel="0" collapsed="false">
      <c r="A10" s="16" t="s">
        <v>1172</v>
      </c>
      <c r="B10" s="19" t="s">
        <v>86</v>
      </c>
      <c r="C10" s="4" t="s">
        <v>67</v>
      </c>
      <c r="D10" s="4" t="s">
        <v>1153</v>
      </c>
      <c r="E10" s="4" t="s">
        <v>110</v>
      </c>
      <c r="F10" s="4" t="s">
        <v>1173</v>
      </c>
      <c r="G10" s="4" t="s">
        <v>110</v>
      </c>
      <c r="H10" s="4" t="s">
        <v>1174</v>
      </c>
      <c r="I10" s="4"/>
      <c r="J10" s="4" t="s">
        <v>23</v>
      </c>
      <c r="K10" s="4"/>
      <c r="L10" s="4"/>
      <c r="M10" s="4"/>
      <c r="N10" s="4"/>
      <c r="O10" s="4"/>
    </row>
    <row r="11" customFormat="false" ht="15" hidden="false" customHeight="false" outlineLevel="0" collapsed="false">
      <c r="A11" s="16" t="s">
        <v>1175</v>
      </c>
      <c r="B11" s="20" t="s">
        <v>1176</v>
      </c>
      <c r="C11" s="4" t="s">
        <v>67</v>
      </c>
      <c r="D11" s="4" t="s">
        <v>1153</v>
      </c>
      <c r="E11" s="4" t="s">
        <v>110</v>
      </c>
      <c r="F11" s="4" t="s">
        <v>1177</v>
      </c>
      <c r="G11" s="4" t="s">
        <v>110</v>
      </c>
      <c r="H11" s="4" t="s">
        <v>1178</v>
      </c>
      <c r="I11" s="4"/>
      <c r="J11" s="4" t="s">
        <v>23</v>
      </c>
      <c r="K11" s="4"/>
      <c r="L11" s="4"/>
      <c r="M11" s="4"/>
      <c r="N11" s="4"/>
      <c r="O11" s="4"/>
    </row>
    <row r="12" customFormat="false" ht="15" hidden="false" customHeight="false" outlineLevel="0" collapsed="false">
      <c r="A12" s="16" t="s">
        <v>1179</v>
      </c>
      <c r="B12" s="18" t="s">
        <v>74</v>
      </c>
      <c r="C12" s="4" t="s">
        <v>92</v>
      </c>
      <c r="D12" s="4" t="s">
        <v>1180</v>
      </c>
      <c r="E12" s="4" t="s">
        <v>1181</v>
      </c>
      <c r="F12" s="4" t="s">
        <v>1182</v>
      </c>
      <c r="G12" s="4" t="s">
        <v>110</v>
      </c>
      <c r="H12" s="4" t="s">
        <v>1183</v>
      </c>
      <c r="I12" s="4"/>
      <c r="J12" s="4" t="s">
        <v>23</v>
      </c>
      <c r="K12" s="4"/>
      <c r="L12" s="4"/>
      <c r="M12" s="4"/>
      <c r="N12" s="4"/>
      <c r="O12" s="4"/>
    </row>
    <row r="13" customFormat="false" ht="15" hidden="false" customHeight="false" outlineLevel="0" collapsed="false">
      <c r="A13" s="16" t="s">
        <v>1184</v>
      </c>
      <c r="B13" s="18" t="s">
        <v>74</v>
      </c>
      <c r="C13" s="4" t="s">
        <v>92</v>
      </c>
      <c r="D13" s="4" t="s">
        <v>1180</v>
      </c>
      <c r="E13" s="4" t="s">
        <v>1185</v>
      </c>
      <c r="F13" s="4" t="s">
        <v>1186</v>
      </c>
      <c r="G13" s="4" t="s">
        <v>110</v>
      </c>
      <c r="H13" s="4" t="s">
        <v>1187</v>
      </c>
      <c r="I13" s="4"/>
      <c r="J13" s="4" t="s">
        <v>23</v>
      </c>
      <c r="K13" s="4"/>
      <c r="L13" s="4"/>
      <c r="M13" s="4"/>
      <c r="N13" s="4"/>
      <c r="O13" s="4"/>
    </row>
    <row r="14" customFormat="false" ht="15" hidden="false" customHeight="false" outlineLevel="0" collapsed="false">
      <c r="A14" s="16" t="s">
        <v>1188</v>
      </c>
      <c r="B14" s="18" t="s">
        <v>74</v>
      </c>
      <c r="C14" s="4" t="s">
        <v>75</v>
      </c>
      <c r="D14" s="4" t="s">
        <v>1180</v>
      </c>
      <c r="E14" s="4" t="s">
        <v>110</v>
      </c>
      <c r="F14" s="4" t="s">
        <v>1189</v>
      </c>
      <c r="G14" s="4" t="s">
        <v>110</v>
      </c>
      <c r="H14" s="4" t="s">
        <v>1190</v>
      </c>
      <c r="I14" s="4"/>
      <c r="J14" s="4" t="s">
        <v>23</v>
      </c>
      <c r="K14" s="4"/>
      <c r="L14" s="4"/>
      <c r="M14" s="4"/>
      <c r="N14" s="4"/>
      <c r="O14" s="4"/>
    </row>
    <row r="15" customFormat="false" ht="15" hidden="false" customHeight="false" outlineLevel="0" collapsed="false">
      <c r="A15" s="16" t="s">
        <v>1191</v>
      </c>
      <c r="B15" s="18" t="s">
        <v>74</v>
      </c>
      <c r="C15" s="4" t="s">
        <v>75</v>
      </c>
      <c r="D15" s="4" t="s">
        <v>1180</v>
      </c>
      <c r="E15" s="4" t="s">
        <v>110</v>
      </c>
      <c r="F15" s="4" t="s">
        <v>1192</v>
      </c>
      <c r="G15" s="4" t="s">
        <v>110</v>
      </c>
      <c r="H15" s="4" t="s">
        <v>1193</v>
      </c>
      <c r="I15" s="4"/>
      <c r="J15" s="4" t="s">
        <v>23</v>
      </c>
      <c r="K15" s="4"/>
      <c r="L15" s="4"/>
      <c r="M15" s="4"/>
      <c r="N15" s="4"/>
      <c r="O15" s="4"/>
    </row>
    <row r="16" customFormat="false" ht="23.85" hidden="false" customHeight="false" outlineLevel="0" collapsed="false">
      <c r="A16" s="16" t="s">
        <v>1194</v>
      </c>
      <c r="B16" s="18" t="s">
        <v>74</v>
      </c>
      <c r="C16" s="4" t="s">
        <v>75</v>
      </c>
      <c r="D16" s="4" t="s">
        <v>1180</v>
      </c>
      <c r="E16" s="4" t="s">
        <v>110</v>
      </c>
      <c r="F16" s="4" t="s">
        <v>1195</v>
      </c>
      <c r="G16" s="4" t="s">
        <v>110</v>
      </c>
      <c r="H16" s="4" t="s">
        <v>1196</v>
      </c>
      <c r="I16" s="4"/>
      <c r="J16" s="4" t="s">
        <v>23</v>
      </c>
      <c r="K16" s="4"/>
      <c r="L16" s="4"/>
      <c r="M16" s="4"/>
      <c r="N16" s="4"/>
      <c r="O16" s="4"/>
    </row>
    <row r="17" customFormat="false" ht="15" hidden="false" customHeight="false" outlineLevel="0" collapsed="false">
      <c r="A17" s="16" t="s">
        <v>1197</v>
      </c>
      <c r="B17" s="17" t="s">
        <v>66</v>
      </c>
      <c r="C17" s="4" t="s">
        <v>92</v>
      </c>
      <c r="D17" s="4" t="s">
        <v>1180</v>
      </c>
      <c r="E17" s="4" t="s">
        <v>1198</v>
      </c>
      <c r="F17" s="4" t="s">
        <v>1199</v>
      </c>
      <c r="G17" s="4" t="s">
        <v>110</v>
      </c>
      <c r="H17" s="4" t="s">
        <v>26</v>
      </c>
      <c r="I17" s="4"/>
      <c r="J17" s="4" t="s">
        <v>23</v>
      </c>
      <c r="K17" s="4"/>
      <c r="L17" s="4"/>
      <c r="M17" s="4"/>
      <c r="N17" s="4"/>
      <c r="O17" s="4"/>
    </row>
    <row r="18" customFormat="false" ht="15" hidden="false" customHeight="false" outlineLevel="0" collapsed="false">
      <c r="A18" s="16" t="s">
        <v>1200</v>
      </c>
      <c r="B18" s="18" t="s">
        <v>74</v>
      </c>
      <c r="C18" s="4" t="s">
        <v>92</v>
      </c>
      <c r="D18" s="4" t="s">
        <v>1180</v>
      </c>
      <c r="E18" s="4" t="s">
        <v>110</v>
      </c>
      <c r="F18" s="4" t="s">
        <v>1201</v>
      </c>
      <c r="G18" s="4" t="s">
        <v>110</v>
      </c>
      <c r="H18" s="4" t="s">
        <v>1202</v>
      </c>
      <c r="I18" s="4"/>
      <c r="J18" s="4" t="s">
        <v>23</v>
      </c>
      <c r="K18" s="4"/>
      <c r="L18" s="4"/>
      <c r="M18" s="4"/>
      <c r="N18" s="4"/>
      <c r="O18" s="4"/>
    </row>
    <row r="19" customFormat="false" ht="15" hidden="false" customHeight="false" outlineLevel="0" collapsed="false">
      <c r="A19" s="16" t="s">
        <v>1203</v>
      </c>
      <c r="B19" s="19" t="s">
        <v>86</v>
      </c>
      <c r="C19" s="4" t="s">
        <v>67</v>
      </c>
      <c r="D19" s="4" t="s">
        <v>1180</v>
      </c>
      <c r="E19" s="4" t="s">
        <v>110</v>
      </c>
      <c r="F19" s="4" t="s">
        <v>1204</v>
      </c>
      <c r="G19" s="4" t="s">
        <v>110</v>
      </c>
      <c r="H19" s="4" t="s">
        <v>1205</v>
      </c>
      <c r="I19" s="4"/>
      <c r="J19" s="4" t="s">
        <v>23</v>
      </c>
      <c r="K19" s="4"/>
      <c r="L19" s="4"/>
      <c r="M19" s="4"/>
      <c r="N19" s="4"/>
      <c r="O19" s="4"/>
    </row>
    <row r="20" customFormat="false" ht="15" hidden="false" customHeight="false" outlineLevel="0" collapsed="false">
      <c r="A20" s="16" t="s">
        <v>1206</v>
      </c>
      <c r="B20" s="17" t="s">
        <v>66</v>
      </c>
      <c r="C20" s="4" t="s">
        <v>92</v>
      </c>
      <c r="D20" s="4" t="s">
        <v>92</v>
      </c>
      <c r="E20" s="4" t="s">
        <v>110</v>
      </c>
      <c r="F20" s="4" t="s">
        <v>1207</v>
      </c>
      <c r="G20" s="4" t="s">
        <v>110</v>
      </c>
      <c r="H20" s="4" t="s">
        <v>1208</v>
      </c>
      <c r="I20" s="4"/>
      <c r="J20" s="4" t="s">
        <v>23</v>
      </c>
      <c r="K20" s="4"/>
      <c r="L20" s="4"/>
      <c r="M20" s="4"/>
      <c r="N20" s="4"/>
      <c r="O20" s="4"/>
    </row>
    <row r="21" customFormat="false" ht="35.05" hidden="false" customHeight="false" outlineLevel="0" collapsed="false">
      <c r="A21" s="16" t="s">
        <v>1209</v>
      </c>
      <c r="B21" s="17" t="s">
        <v>66</v>
      </c>
      <c r="C21" s="4" t="s">
        <v>92</v>
      </c>
      <c r="D21" s="4" t="s">
        <v>92</v>
      </c>
      <c r="E21" s="4" t="s">
        <v>110</v>
      </c>
      <c r="F21" s="4" t="s">
        <v>1210</v>
      </c>
      <c r="G21" s="4" t="s">
        <v>110</v>
      </c>
      <c r="H21" s="4" t="s">
        <v>1211</v>
      </c>
      <c r="I21" s="4"/>
      <c r="J21" s="4" t="s">
        <v>23</v>
      </c>
      <c r="K21" s="4"/>
      <c r="L21" s="4"/>
      <c r="M21" s="4"/>
      <c r="N21" s="4"/>
      <c r="O21" s="4"/>
    </row>
    <row r="22" customFormat="false" ht="15" hidden="false" customHeight="false" outlineLevel="0" collapsed="false">
      <c r="A22" s="16" t="s">
        <v>1212</v>
      </c>
      <c r="B22" s="17" t="s">
        <v>66</v>
      </c>
      <c r="C22" s="4" t="s">
        <v>92</v>
      </c>
      <c r="D22" s="4" t="s">
        <v>92</v>
      </c>
      <c r="E22" s="4" t="s">
        <v>110</v>
      </c>
      <c r="F22" s="4" t="s">
        <v>1213</v>
      </c>
      <c r="G22" s="4" t="s">
        <v>110</v>
      </c>
      <c r="H22" s="4" t="s">
        <v>1214</v>
      </c>
      <c r="I22" s="4"/>
      <c r="J22" s="4" t="s">
        <v>23</v>
      </c>
      <c r="K22" s="4"/>
      <c r="L22" s="4"/>
      <c r="M22" s="4"/>
      <c r="N22" s="4"/>
      <c r="O22" s="4"/>
    </row>
    <row r="23" customFormat="false" ht="15" hidden="false" customHeight="false" outlineLevel="0" collapsed="false">
      <c r="A23" s="16" t="s">
        <v>1215</v>
      </c>
      <c r="B23" s="17" t="s">
        <v>66</v>
      </c>
      <c r="C23" s="4" t="s">
        <v>92</v>
      </c>
      <c r="D23" s="4" t="s">
        <v>92</v>
      </c>
      <c r="E23" s="4" t="s">
        <v>1216</v>
      </c>
      <c r="F23" s="4" t="s">
        <v>1217</v>
      </c>
      <c r="G23" s="4" t="s">
        <v>110</v>
      </c>
      <c r="H23" s="4" t="s">
        <v>1218</v>
      </c>
      <c r="I23" s="4"/>
      <c r="J23" s="4" t="s">
        <v>23</v>
      </c>
      <c r="K23" s="4"/>
      <c r="L23" s="4"/>
      <c r="M23" s="4"/>
      <c r="N23" s="4"/>
      <c r="O23" s="4"/>
    </row>
    <row r="24" customFormat="false" ht="15" hidden="false" customHeight="false" outlineLevel="0" collapsed="false">
      <c r="A24" s="16" t="s">
        <v>1219</v>
      </c>
      <c r="B24" s="17" t="s">
        <v>66</v>
      </c>
      <c r="C24" s="4" t="s">
        <v>92</v>
      </c>
      <c r="D24" s="4" t="s">
        <v>92</v>
      </c>
      <c r="E24" s="4" t="s">
        <v>178</v>
      </c>
      <c r="F24" s="4" t="s">
        <v>1220</v>
      </c>
      <c r="G24" s="4" t="s">
        <v>110</v>
      </c>
      <c r="H24" s="4" t="s">
        <v>26</v>
      </c>
      <c r="I24" s="4"/>
      <c r="J24" s="4" t="s">
        <v>23</v>
      </c>
      <c r="K24" s="4"/>
      <c r="L24" s="4"/>
      <c r="M24" s="4"/>
      <c r="N24" s="4"/>
      <c r="O24" s="4"/>
    </row>
    <row r="25" customFormat="false" ht="15" hidden="false" customHeight="false" outlineLevel="0" collapsed="false">
      <c r="A25" s="16" t="s">
        <v>1221</v>
      </c>
      <c r="B25" s="17" t="s">
        <v>66</v>
      </c>
      <c r="C25" s="4" t="s">
        <v>92</v>
      </c>
      <c r="D25" s="4" t="s">
        <v>92</v>
      </c>
      <c r="E25" s="4" t="s">
        <v>110</v>
      </c>
      <c r="F25" s="4" t="s">
        <v>1222</v>
      </c>
      <c r="G25" s="4" t="s">
        <v>110</v>
      </c>
      <c r="H25" s="4" t="s">
        <v>1223</v>
      </c>
      <c r="I25" s="4"/>
      <c r="J25" s="4" t="s">
        <v>23</v>
      </c>
      <c r="K25" s="4"/>
      <c r="L25" s="4"/>
      <c r="M25" s="4"/>
      <c r="N25" s="4"/>
      <c r="O25" s="4"/>
    </row>
    <row r="26" customFormat="false" ht="23.85" hidden="false" customHeight="false" outlineLevel="0" collapsed="false">
      <c r="A26" s="16" t="s">
        <v>1224</v>
      </c>
      <c r="B26" s="17" t="s">
        <v>66</v>
      </c>
      <c r="C26" s="4" t="s">
        <v>92</v>
      </c>
      <c r="D26" s="4" t="s">
        <v>92</v>
      </c>
      <c r="E26" s="4" t="s">
        <v>1225</v>
      </c>
      <c r="F26" s="4" t="s">
        <v>1226</v>
      </c>
      <c r="G26" s="4" t="s">
        <v>110</v>
      </c>
      <c r="H26" s="4" t="s">
        <v>1227</v>
      </c>
      <c r="I26" s="4"/>
      <c r="J26" s="4" t="s">
        <v>23</v>
      </c>
      <c r="K26" s="4"/>
      <c r="L26" s="4"/>
      <c r="M26" s="4"/>
      <c r="N26" s="4"/>
      <c r="O26" s="4"/>
    </row>
    <row r="27" customFormat="false" ht="15" hidden="false" customHeight="false" outlineLevel="0" collapsed="false">
      <c r="A27" s="16" t="s">
        <v>1228</v>
      </c>
      <c r="B27" s="18" t="s">
        <v>74</v>
      </c>
      <c r="C27" s="4" t="s">
        <v>92</v>
      </c>
      <c r="D27" s="4" t="s">
        <v>92</v>
      </c>
      <c r="E27" s="4" t="s">
        <v>110</v>
      </c>
      <c r="F27" s="4" t="s">
        <v>1229</v>
      </c>
      <c r="G27" s="4" t="s">
        <v>110</v>
      </c>
      <c r="H27" s="4" t="s">
        <v>1230</v>
      </c>
      <c r="I27" s="4"/>
      <c r="J27" s="4" t="s">
        <v>23</v>
      </c>
      <c r="K27" s="4"/>
      <c r="L27" s="4"/>
      <c r="M27" s="4"/>
      <c r="N27" s="4"/>
      <c r="O27" s="4"/>
    </row>
    <row r="28" customFormat="false" ht="23.85" hidden="false" customHeight="false" outlineLevel="0" collapsed="false">
      <c r="A28" s="16" t="s">
        <v>1231</v>
      </c>
      <c r="B28" s="17" t="s">
        <v>66</v>
      </c>
      <c r="C28" s="4" t="s">
        <v>92</v>
      </c>
      <c r="D28" s="4" t="s">
        <v>92</v>
      </c>
      <c r="E28" s="4" t="s">
        <v>1232</v>
      </c>
      <c r="F28" s="4" t="s">
        <v>1233</v>
      </c>
      <c r="G28" s="4" t="s">
        <v>110</v>
      </c>
      <c r="H28" s="4" t="s">
        <v>1234</v>
      </c>
      <c r="I28" s="4"/>
      <c r="J28" s="4" t="s">
        <v>23</v>
      </c>
      <c r="K28" s="4"/>
      <c r="L28" s="4"/>
      <c r="M28" s="4"/>
      <c r="N28" s="4"/>
      <c r="O28" s="4"/>
    </row>
    <row r="29" customFormat="false" ht="15" hidden="false" customHeight="false" outlineLevel="0" collapsed="false">
      <c r="A29" s="16" t="s">
        <v>1235</v>
      </c>
      <c r="B29" s="17" t="s">
        <v>66</v>
      </c>
      <c r="C29" s="4" t="s">
        <v>92</v>
      </c>
      <c r="D29" s="4" t="s">
        <v>92</v>
      </c>
      <c r="E29" s="4" t="s">
        <v>110</v>
      </c>
      <c r="F29" s="4" t="s">
        <v>1236</v>
      </c>
      <c r="G29" s="4" t="s">
        <v>110</v>
      </c>
      <c r="H29" s="4" t="s">
        <v>1237</v>
      </c>
      <c r="I29" s="4"/>
      <c r="J29" s="4" t="s">
        <v>23</v>
      </c>
      <c r="K29" s="4"/>
      <c r="L29" s="4"/>
      <c r="M29" s="4"/>
      <c r="N29" s="4"/>
      <c r="O29" s="4"/>
    </row>
    <row r="30" customFormat="false" ht="15" hidden="false" customHeight="false" outlineLevel="0" collapsed="false">
      <c r="A30" s="16" t="s">
        <v>1238</v>
      </c>
      <c r="B30" s="18" t="s">
        <v>74</v>
      </c>
      <c r="C30" s="4" t="s">
        <v>92</v>
      </c>
      <c r="D30" s="4" t="s">
        <v>92</v>
      </c>
      <c r="E30" s="4" t="s">
        <v>110</v>
      </c>
      <c r="F30" s="4" t="s">
        <v>1239</v>
      </c>
      <c r="G30" s="4" t="s">
        <v>110</v>
      </c>
      <c r="H30" s="4" t="s">
        <v>1240</v>
      </c>
      <c r="I30" s="4"/>
      <c r="J30" s="4" t="s">
        <v>23</v>
      </c>
      <c r="K30" s="4"/>
      <c r="L30" s="4"/>
      <c r="M30" s="4"/>
      <c r="N30" s="4"/>
      <c r="O30" s="4"/>
    </row>
    <row r="31" customFormat="false" ht="15" hidden="false" customHeight="false" outlineLevel="0" collapsed="false">
      <c r="A31" s="16" t="s">
        <v>1241</v>
      </c>
      <c r="B31" s="18" t="s">
        <v>74</v>
      </c>
      <c r="C31" s="4" t="s">
        <v>92</v>
      </c>
      <c r="D31" s="4" t="s">
        <v>92</v>
      </c>
      <c r="E31" s="4" t="s">
        <v>110</v>
      </c>
      <c r="F31" s="4" t="s">
        <v>1242</v>
      </c>
      <c r="G31" s="4" t="s">
        <v>110</v>
      </c>
      <c r="H31" s="4" t="s">
        <v>1243</v>
      </c>
      <c r="I31" s="4"/>
      <c r="J31" s="4" t="s">
        <v>23</v>
      </c>
      <c r="K31" s="4"/>
      <c r="L31" s="4"/>
      <c r="M31" s="4"/>
      <c r="N31" s="4"/>
      <c r="O31" s="4"/>
    </row>
    <row r="32" customFormat="false" ht="15" hidden="false" customHeight="false" outlineLevel="0" collapsed="false">
      <c r="A32" s="16" t="s">
        <v>1244</v>
      </c>
      <c r="B32" s="17" t="s">
        <v>66</v>
      </c>
      <c r="C32" s="4" t="s">
        <v>113</v>
      </c>
      <c r="D32" s="4" t="s">
        <v>1245</v>
      </c>
      <c r="E32" s="4" t="s">
        <v>1246</v>
      </c>
      <c r="F32" s="4" t="s">
        <v>1247</v>
      </c>
      <c r="G32" s="4" t="s">
        <v>110</v>
      </c>
      <c r="H32" s="4" t="s">
        <v>1248</v>
      </c>
      <c r="I32" s="4"/>
      <c r="J32" s="4" t="s">
        <v>23</v>
      </c>
      <c r="K32" s="4"/>
      <c r="L32" s="4"/>
      <c r="M32" s="4"/>
      <c r="N32" s="4"/>
      <c r="O32" s="4"/>
    </row>
    <row r="33" customFormat="false" ht="15" hidden="false" customHeight="false" outlineLevel="0" collapsed="false">
      <c r="A33" s="16" t="s">
        <v>1249</v>
      </c>
      <c r="B33" s="17" t="s">
        <v>66</v>
      </c>
      <c r="C33" s="4" t="s">
        <v>113</v>
      </c>
      <c r="D33" s="4" t="s">
        <v>1245</v>
      </c>
      <c r="E33" s="4" t="s">
        <v>1246</v>
      </c>
      <c r="F33" s="4" t="s">
        <v>1250</v>
      </c>
      <c r="G33" s="4" t="s">
        <v>110</v>
      </c>
      <c r="H33" s="4" t="s">
        <v>1248</v>
      </c>
      <c r="I33" s="4"/>
      <c r="J33" s="4" t="s">
        <v>23</v>
      </c>
      <c r="K33" s="4"/>
      <c r="L33" s="4"/>
      <c r="M33" s="4"/>
      <c r="N33" s="4"/>
      <c r="O33" s="4"/>
    </row>
    <row r="34" customFormat="false" ht="15" hidden="false" customHeight="false" outlineLevel="0" collapsed="false">
      <c r="A34" s="16" t="s">
        <v>1251</v>
      </c>
      <c r="B34" s="17" t="s">
        <v>66</v>
      </c>
      <c r="C34" s="4" t="s">
        <v>113</v>
      </c>
      <c r="D34" s="4" t="s">
        <v>1245</v>
      </c>
      <c r="E34" s="4" t="s">
        <v>110</v>
      </c>
      <c r="F34" s="4" t="s">
        <v>1252</v>
      </c>
      <c r="G34" s="4" t="s">
        <v>110</v>
      </c>
      <c r="H34" s="4" t="s">
        <v>1253</v>
      </c>
      <c r="I34" s="4"/>
      <c r="J34" s="4" t="s">
        <v>23</v>
      </c>
      <c r="K34" s="4"/>
      <c r="L34" s="4"/>
      <c r="M34" s="4"/>
      <c r="N34" s="4"/>
      <c r="O34" s="4"/>
    </row>
    <row r="35" customFormat="false" ht="15" hidden="false" customHeight="false" outlineLevel="0" collapsed="false">
      <c r="A35" s="16" t="s">
        <v>1254</v>
      </c>
      <c r="B35" s="17" t="s">
        <v>66</v>
      </c>
      <c r="C35" s="4" t="s">
        <v>113</v>
      </c>
      <c r="D35" s="4" t="s">
        <v>1245</v>
      </c>
      <c r="E35" s="4" t="s">
        <v>110</v>
      </c>
      <c r="F35" s="4" t="s">
        <v>1255</v>
      </c>
      <c r="G35" s="4" t="s">
        <v>110</v>
      </c>
      <c r="H35" s="4" t="s">
        <v>1253</v>
      </c>
      <c r="I35" s="4"/>
      <c r="J35" s="4" t="s">
        <v>23</v>
      </c>
      <c r="K35" s="4"/>
      <c r="L35" s="4"/>
      <c r="M35" s="4"/>
      <c r="N35" s="4"/>
      <c r="O35" s="4"/>
    </row>
    <row r="36" customFormat="false" ht="15" hidden="false" customHeight="false" outlineLevel="0" collapsed="false">
      <c r="A36" s="16" t="s">
        <v>1256</v>
      </c>
      <c r="B36" s="17" t="s">
        <v>66</v>
      </c>
      <c r="C36" s="4" t="s">
        <v>113</v>
      </c>
      <c r="D36" s="4" t="s">
        <v>1245</v>
      </c>
      <c r="E36" s="4" t="s">
        <v>110</v>
      </c>
      <c r="F36" s="4" t="s">
        <v>1257</v>
      </c>
      <c r="G36" s="4" t="s">
        <v>110</v>
      </c>
      <c r="H36" s="4" t="s">
        <v>1253</v>
      </c>
      <c r="I36" s="4"/>
      <c r="J36" s="4" t="s">
        <v>23</v>
      </c>
      <c r="K36" s="4"/>
      <c r="L36" s="4"/>
      <c r="M36" s="4"/>
      <c r="N36" s="4"/>
      <c r="O36" s="4"/>
    </row>
    <row r="37" customFormat="false" ht="15" hidden="false" customHeight="false" outlineLevel="0" collapsed="false">
      <c r="A37" s="16" t="s">
        <v>1258</v>
      </c>
      <c r="B37" s="17" t="s">
        <v>66</v>
      </c>
      <c r="C37" s="4" t="s">
        <v>113</v>
      </c>
      <c r="D37" s="4" t="s">
        <v>1245</v>
      </c>
      <c r="E37" s="4" t="s">
        <v>110</v>
      </c>
      <c r="F37" s="4" t="s">
        <v>1259</v>
      </c>
      <c r="G37" s="4" t="s">
        <v>110</v>
      </c>
      <c r="H37" s="4" t="s">
        <v>1253</v>
      </c>
      <c r="I37" s="4"/>
      <c r="J37" s="4" t="s">
        <v>23</v>
      </c>
      <c r="K37" s="4"/>
      <c r="L37" s="4"/>
      <c r="M37" s="4"/>
      <c r="N37" s="4"/>
      <c r="O37" s="4"/>
    </row>
    <row r="38" customFormat="false" ht="15" hidden="false" customHeight="false" outlineLevel="0" collapsed="false">
      <c r="A38" s="16" t="s">
        <v>1260</v>
      </c>
      <c r="B38" s="18" t="s">
        <v>74</v>
      </c>
      <c r="C38" s="4" t="s">
        <v>113</v>
      </c>
      <c r="D38" s="4" t="s">
        <v>1245</v>
      </c>
      <c r="E38" s="4" t="s">
        <v>110</v>
      </c>
      <c r="F38" s="4" t="s">
        <v>1261</v>
      </c>
      <c r="G38" s="4" t="s">
        <v>110</v>
      </c>
      <c r="H38" s="4" t="s">
        <v>1262</v>
      </c>
      <c r="I38" s="4"/>
      <c r="J38" s="4" t="s">
        <v>23</v>
      </c>
      <c r="K38" s="4"/>
      <c r="L38" s="4"/>
      <c r="M38" s="4"/>
      <c r="N38" s="4"/>
      <c r="O38" s="4"/>
    </row>
    <row r="39" customFormat="false" ht="15" hidden="false" customHeight="false" outlineLevel="0" collapsed="false">
      <c r="A39" s="16" t="s">
        <v>1263</v>
      </c>
      <c r="B39" s="18" t="s">
        <v>74</v>
      </c>
      <c r="C39" s="4" t="s">
        <v>113</v>
      </c>
      <c r="D39" s="4" t="s">
        <v>1245</v>
      </c>
      <c r="E39" s="4" t="s">
        <v>110</v>
      </c>
      <c r="F39" s="4" t="s">
        <v>1264</v>
      </c>
      <c r="G39" s="4" t="s">
        <v>110</v>
      </c>
      <c r="H39" s="4" t="s">
        <v>1265</v>
      </c>
      <c r="I39" s="4"/>
      <c r="J39" s="4" t="s">
        <v>23</v>
      </c>
      <c r="K39" s="4"/>
      <c r="L39" s="4"/>
      <c r="M39" s="4"/>
      <c r="N39" s="4"/>
      <c r="O39" s="4"/>
    </row>
    <row r="40" customFormat="false" ht="15" hidden="false" customHeight="false" outlineLevel="0" collapsed="false">
      <c r="A40" s="16" t="s">
        <v>1266</v>
      </c>
      <c r="B40" s="17" t="s">
        <v>66</v>
      </c>
      <c r="C40" s="4" t="s">
        <v>113</v>
      </c>
      <c r="D40" s="4" t="s">
        <v>1267</v>
      </c>
      <c r="E40" s="4" t="s">
        <v>110</v>
      </c>
      <c r="F40" s="4" t="s">
        <v>1268</v>
      </c>
      <c r="G40" s="4" t="s">
        <v>110</v>
      </c>
      <c r="H40" s="4" t="s">
        <v>1269</v>
      </c>
      <c r="I40" s="4"/>
      <c r="J40" s="4" t="s">
        <v>23</v>
      </c>
      <c r="K40" s="4"/>
      <c r="L40" s="4"/>
      <c r="M40" s="4"/>
      <c r="N40" s="4"/>
      <c r="O40" s="4"/>
    </row>
    <row r="41" customFormat="false" ht="15" hidden="false" customHeight="false" outlineLevel="0" collapsed="false">
      <c r="A41" s="16" t="s">
        <v>1270</v>
      </c>
      <c r="B41" s="17" t="s">
        <v>66</v>
      </c>
      <c r="C41" s="4" t="s">
        <v>113</v>
      </c>
      <c r="D41" s="4" t="s">
        <v>1267</v>
      </c>
      <c r="E41" s="4" t="s">
        <v>110</v>
      </c>
      <c r="F41" s="4" t="s">
        <v>1271</v>
      </c>
      <c r="G41" s="4" t="s">
        <v>110</v>
      </c>
      <c r="H41" s="4" t="s">
        <v>1272</v>
      </c>
      <c r="I41" s="4"/>
      <c r="J41" s="4" t="s">
        <v>23</v>
      </c>
      <c r="K41" s="4"/>
      <c r="L41" s="4"/>
      <c r="M41" s="4"/>
      <c r="N41" s="4"/>
      <c r="O41" s="4"/>
    </row>
    <row r="42" customFormat="false" ht="15" hidden="false" customHeight="false" outlineLevel="0" collapsed="false">
      <c r="A42" s="16" t="s">
        <v>1273</v>
      </c>
      <c r="B42" s="18" t="s">
        <v>74</v>
      </c>
      <c r="C42" s="4" t="s">
        <v>113</v>
      </c>
      <c r="D42" s="4" t="s">
        <v>1267</v>
      </c>
      <c r="E42" s="4" t="s">
        <v>1274</v>
      </c>
      <c r="F42" s="4" t="s">
        <v>1275</v>
      </c>
      <c r="G42" s="4" t="s">
        <v>110</v>
      </c>
      <c r="H42" s="4" t="s">
        <v>1276</v>
      </c>
      <c r="I42" s="4"/>
      <c r="J42" s="4" t="s">
        <v>23</v>
      </c>
      <c r="K42" s="4"/>
      <c r="L42" s="4"/>
      <c r="M42" s="4"/>
      <c r="N42" s="4"/>
      <c r="O42" s="4"/>
    </row>
    <row r="43" customFormat="false" ht="15" hidden="false" customHeight="false" outlineLevel="0" collapsed="false">
      <c r="A43" s="16" t="s">
        <v>1277</v>
      </c>
      <c r="B43" s="18" t="s">
        <v>74</v>
      </c>
      <c r="C43" s="4" t="s">
        <v>113</v>
      </c>
      <c r="D43" s="4" t="s">
        <v>1267</v>
      </c>
      <c r="E43" s="4" t="s">
        <v>1278</v>
      </c>
      <c r="F43" s="4" t="s">
        <v>1279</v>
      </c>
      <c r="G43" s="4" t="s">
        <v>110</v>
      </c>
      <c r="H43" s="4" t="s">
        <v>1280</v>
      </c>
      <c r="I43" s="4"/>
      <c r="J43" s="4" t="s">
        <v>23</v>
      </c>
      <c r="K43" s="4"/>
      <c r="L43" s="4"/>
      <c r="M43" s="4"/>
      <c r="N43" s="4"/>
      <c r="O43" s="4"/>
    </row>
    <row r="44" customFormat="false" ht="15" hidden="false" customHeight="false" outlineLevel="0" collapsed="false">
      <c r="A44" s="16" t="s">
        <v>1281</v>
      </c>
      <c r="B44" s="18" t="s">
        <v>74</v>
      </c>
      <c r="C44" s="4" t="s">
        <v>113</v>
      </c>
      <c r="D44" s="4" t="s">
        <v>1267</v>
      </c>
      <c r="E44" s="4" t="s">
        <v>1282</v>
      </c>
      <c r="F44" s="4" t="s">
        <v>1283</v>
      </c>
      <c r="G44" s="4" t="s">
        <v>110</v>
      </c>
      <c r="H44" s="4" t="s">
        <v>1284</v>
      </c>
      <c r="I44" s="4"/>
      <c r="J44" s="4" t="s">
        <v>23</v>
      </c>
      <c r="K44" s="4"/>
      <c r="L44" s="4"/>
      <c r="M44" s="4"/>
      <c r="N44" s="4"/>
      <c r="O44" s="4"/>
    </row>
    <row r="45" customFormat="false" ht="15" hidden="false" customHeight="false" outlineLevel="0" collapsed="false">
      <c r="A45" s="16" t="s">
        <v>1285</v>
      </c>
      <c r="B45" s="17" t="s">
        <v>66</v>
      </c>
      <c r="C45" s="4" t="s">
        <v>113</v>
      </c>
      <c r="D45" s="4" t="s">
        <v>1267</v>
      </c>
      <c r="E45" s="4" t="s">
        <v>110</v>
      </c>
      <c r="F45" s="4" t="s">
        <v>1286</v>
      </c>
      <c r="G45" s="4" t="s">
        <v>110</v>
      </c>
      <c r="H45" s="4" t="s">
        <v>1287</v>
      </c>
      <c r="I45" s="4"/>
      <c r="J45" s="4" t="s">
        <v>23</v>
      </c>
      <c r="K45" s="4"/>
      <c r="L45" s="4"/>
      <c r="M45" s="4"/>
      <c r="N45" s="4"/>
      <c r="O45" s="4"/>
    </row>
    <row r="46" customFormat="false" ht="23.85" hidden="false" customHeight="false" outlineLevel="0" collapsed="false">
      <c r="A46" s="16" t="s">
        <v>1288</v>
      </c>
      <c r="B46" s="17" t="s">
        <v>66</v>
      </c>
      <c r="C46" s="4" t="s">
        <v>113</v>
      </c>
      <c r="D46" s="4" t="s">
        <v>1289</v>
      </c>
      <c r="E46" s="4" t="s">
        <v>1290</v>
      </c>
      <c r="F46" s="4" t="s">
        <v>1291</v>
      </c>
      <c r="G46" s="4" t="s">
        <v>110</v>
      </c>
      <c r="H46" s="4" t="s">
        <v>1292</v>
      </c>
      <c r="I46" s="4"/>
      <c r="J46" s="4" t="s">
        <v>23</v>
      </c>
      <c r="K46" s="4"/>
      <c r="L46" s="4"/>
      <c r="M46" s="4"/>
      <c r="N46" s="4"/>
      <c r="O46" s="4"/>
    </row>
    <row r="47" customFormat="false" ht="23.85" hidden="false" customHeight="false" outlineLevel="0" collapsed="false">
      <c r="A47" s="16" t="s">
        <v>1293</v>
      </c>
      <c r="B47" s="17" t="s">
        <v>66</v>
      </c>
      <c r="C47" s="4" t="s">
        <v>113</v>
      </c>
      <c r="D47" s="4" t="s">
        <v>1289</v>
      </c>
      <c r="E47" s="4" t="s">
        <v>1294</v>
      </c>
      <c r="F47" s="4" t="s">
        <v>1295</v>
      </c>
      <c r="G47" s="4" t="s">
        <v>110</v>
      </c>
      <c r="H47" s="4" t="s">
        <v>1296</v>
      </c>
      <c r="I47" s="4"/>
      <c r="J47" s="4" t="s">
        <v>23</v>
      </c>
      <c r="K47" s="4"/>
      <c r="L47" s="4"/>
      <c r="M47" s="4"/>
      <c r="N47" s="4"/>
      <c r="O47" s="4"/>
    </row>
    <row r="48" customFormat="false" ht="23.85" hidden="false" customHeight="false" outlineLevel="0" collapsed="false">
      <c r="A48" s="16" t="s">
        <v>1297</v>
      </c>
      <c r="B48" s="17" t="s">
        <v>66</v>
      </c>
      <c r="C48" s="4" t="s">
        <v>113</v>
      </c>
      <c r="D48" s="4" t="s">
        <v>1289</v>
      </c>
      <c r="E48" s="4" t="s">
        <v>1298</v>
      </c>
      <c r="F48" s="4" t="s">
        <v>1299</v>
      </c>
      <c r="G48" s="4" t="s">
        <v>110</v>
      </c>
      <c r="H48" s="4" t="s">
        <v>1300</v>
      </c>
      <c r="I48" s="4"/>
      <c r="J48" s="4" t="s">
        <v>23</v>
      </c>
      <c r="K48" s="4"/>
      <c r="L48" s="4"/>
      <c r="M48" s="4"/>
      <c r="N48" s="4"/>
      <c r="O48" s="4"/>
    </row>
    <row r="49" customFormat="false" ht="23.85" hidden="false" customHeight="false" outlineLevel="0" collapsed="false">
      <c r="A49" s="16" t="s">
        <v>1301</v>
      </c>
      <c r="B49" s="17" t="s">
        <v>66</v>
      </c>
      <c r="C49" s="4" t="s">
        <v>113</v>
      </c>
      <c r="D49" s="4" t="s">
        <v>1289</v>
      </c>
      <c r="E49" s="4" t="s">
        <v>1302</v>
      </c>
      <c r="F49" s="4" t="s">
        <v>1303</v>
      </c>
      <c r="G49" s="4" t="s">
        <v>110</v>
      </c>
      <c r="H49" s="4" t="s">
        <v>1304</v>
      </c>
      <c r="I49" s="4"/>
      <c r="J49" s="4" t="s">
        <v>23</v>
      </c>
      <c r="K49" s="4"/>
      <c r="L49" s="4"/>
      <c r="M49" s="4"/>
      <c r="N49" s="4"/>
      <c r="O49" s="4"/>
    </row>
  </sheetData>
  <autoFilter ref="A3:O49"/>
  <mergeCells count="2">
    <mergeCell ref="A1:O1"/>
    <mergeCell ref="A2:O2"/>
  </mergeCells>
  <conditionalFormatting sqref="J4:J49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"N/A"</formula>
    </cfRule>
  </conditionalFormatting>
  <conditionalFormatting sqref="K4:K49">
    <cfRule type="cellIs" priority="6" operator="equal" aboveAverage="0" equalAverage="0" bottom="0" percent="0" rank="0" text="" dxfId="10">
      <formula>"Critical"</formula>
    </cfRule>
    <cfRule type="cellIs" priority="7" operator="equal" aboveAverage="0" equalAverage="0" bottom="0" percent="0" rank="0" text="" dxfId="7">
      <formula>"High"</formula>
    </cfRule>
    <cfRule type="cellIs" priority="8" operator="equal" aboveAverage="0" equalAverage="0" bottom="0" percent="0" rank="0" text="" dxfId="8">
      <formula>"Medium"</formula>
    </cfRule>
    <cfRule type="cellIs" priority="9" operator="equal" aboveAverage="0" equalAverage="0" bottom="0" percent="0" rank="0" text="" dxfId="11">
      <formula>"Low"</formula>
    </cfRule>
  </conditionalFormatting>
  <dataValidations count="3">
    <dataValidation allowBlank="true" error="Pick from the list" errorStyle="stop" operator="between" showDropDown="false" showErrorMessage="false" showInputMessage="false" sqref="J4:J49" type="list">
      <formula1>"Not Run,Pass,Fail,Blocked,N/A"</formula1>
      <formula2>0</formula2>
    </dataValidation>
    <dataValidation allowBlank="true" errorStyle="stop" operator="between" showDropDown="false" showErrorMessage="false" showInputMessage="false" sqref="K4:K49" type="list">
      <formula1>"Critical,High,Medium,Low,—"</formula1>
      <formula2>0</formula2>
    </dataValidation>
    <dataValidation allowBlank="true" errorStyle="stop" operator="between" showDropDown="false" showErrorMessage="false" showInputMessage="false" sqref="B4:B49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2026-04-23T11:20:10Z</dcterms:created>
  <dc:creator>openpyxl</dc:creator>
  <dc:description/>
  <dc:language>en-US</dc:language>
  <cp:lastModifiedBy/>
  <dcterms:modified xsi:type="dcterms:W3CDTF">2026-04-23T11:20:10Z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